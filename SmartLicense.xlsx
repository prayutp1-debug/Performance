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A6EA4256-D746-466F-A0EC-95B9C31DF26C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HardLock!$A$1:$I$297</definedName>
    <definedName name="Datalist">OFFSET('[1]Data-CPAC'!$A$1,0,0,COUNTA('[1]Data-CPAC'!$A:$A),COUNTA('[1]Data-CPAC'!$1:$1))</definedName>
  </definedNames>
  <calcPr calcId="191029"/>
</workbook>
</file>

<file path=xl/calcChain.xml><?xml version="1.0" encoding="utf-8"?>
<calcChain xmlns="http://schemas.openxmlformats.org/spreadsheetml/2006/main">
  <c r="K3" i="6" l="1"/>
  <c r="K4" i="6"/>
  <c r="K5" i="6"/>
  <c r="K12" i="6"/>
  <c r="K21" i="6"/>
  <c r="K22" i="6"/>
  <c r="K38" i="6"/>
  <c r="K39" i="6"/>
  <c r="K40" i="6"/>
  <c r="K43" i="6"/>
  <c r="K44" i="6"/>
  <c r="K46" i="6"/>
  <c r="K49" i="6"/>
  <c r="K50" i="6"/>
  <c r="K58" i="6"/>
  <c r="K66" i="6"/>
  <c r="K67" i="6"/>
  <c r="K77" i="6"/>
  <c r="K78" i="6"/>
  <c r="K79" i="6"/>
  <c r="K80" i="6"/>
  <c r="K81" i="6"/>
  <c r="K86" i="6"/>
  <c r="K105" i="6"/>
  <c r="K108" i="6"/>
  <c r="K111" i="6"/>
  <c r="K117" i="6"/>
  <c r="K122" i="6"/>
  <c r="K123" i="6"/>
  <c r="K125" i="6"/>
  <c r="K126" i="6"/>
  <c r="K127" i="6"/>
  <c r="K128" i="6"/>
  <c r="K130" i="6"/>
  <c r="K131" i="6"/>
  <c r="K132" i="6"/>
  <c r="K133" i="6"/>
  <c r="K134" i="6"/>
  <c r="K135" i="6"/>
  <c r="K136" i="6"/>
  <c r="K143" i="6"/>
  <c r="K145" i="6"/>
  <c r="K174" i="6"/>
  <c r="K181" i="6"/>
  <c r="K182" i="6"/>
  <c r="K183" i="6"/>
  <c r="K184" i="6"/>
  <c r="K185" i="6"/>
  <c r="K187" i="6"/>
  <c r="K188" i="6"/>
  <c r="K189" i="6"/>
  <c r="K190" i="6"/>
  <c r="K191" i="6"/>
  <c r="K192" i="6"/>
  <c r="K193" i="6"/>
  <c r="K194" i="6"/>
  <c r="K208" i="6"/>
  <c r="K210" i="6"/>
  <c r="K211" i="6"/>
  <c r="K212" i="6"/>
  <c r="K213" i="6"/>
  <c r="K223" i="6"/>
  <c r="K225" i="6"/>
  <c r="K226" i="6"/>
  <c r="K227" i="6"/>
  <c r="K230" i="6"/>
  <c r="K231" i="6"/>
  <c r="K233" i="6"/>
  <c r="K234" i="6"/>
  <c r="K235" i="6"/>
  <c r="K236" i="6"/>
  <c r="K250" i="6"/>
  <c r="K251" i="6"/>
  <c r="K277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3" i="6"/>
  <c r="K294" i="6"/>
  <c r="K295" i="6"/>
  <c r="K1" i="6" l="1"/>
  <c r="K2" i="6" l="1"/>
  <c r="K15" i="6"/>
  <c r="K27" i="6"/>
  <c r="K51" i="6"/>
  <c r="K63" i="6"/>
  <c r="K75" i="6"/>
  <c r="K87" i="6"/>
  <c r="K99" i="6"/>
  <c r="K147" i="6"/>
  <c r="K159" i="6"/>
  <c r="K171" i="6"/>
  <c r="K195" i="6"/>
  <c r="K207" i="6"/>
  <c r="K219" i="6"/>
  <c r="K243" i="6"/>
  <c r="K255" i="6"/>
  <c r="K267" i="6"/>
  <c r="K279" i="6"/>
  <c r="K16" i="6"/>
  <c r="K28" i="6"/>
  <c r="K52" i="6"/>
  <c r="K64" i="6"/>
  <c r="K76" i="6"/>
  <c r="K88" i="6"/>
  <c r="K100" i="6"/>
  <c r="K112" i="6"/>
  <c r="K124" i="6"/>
  <c r="K148" i="6"/>
  <c r="K160" i="6"/>
  <c r="K172" i="6"/>
  <c r="K196" i="6"/>
  <c r="K220" i="6"/>
  <c r="K232" i="6"/>
  <c r="K244" i="6"/>
  <c r="K256" i="6"/>
  <c r="K268" i="6"/>
  <c r="K292" i="6"/>
  <c r="K17" i="6"/>
  <c r="K29" i="6"/>
  <c r="K41" i="6"/>
  <c r="K53" i="6"/>
  <c r="K65" i="6"/>
  <c r="K89" i="6"/>
  <c r="K101" i="6"/>
  <c r="K113" i="6"/>
  <c r="K137" i="6"/>
  <c r="K149" i="6"/>
  <c r="K161" i="6"/>
  <c r="K173" i="6"/>
  <c r="K197" i="6"/>
  <c r="K209" i="6"/>
  <c r="K221" i="6"/>
  <c r="K8" i="6"/>
  <c r="K20" i="6"/>
  <c r="K32" i="6"/>
  <c r="K56" i="6"/>
  <c r="K68" i="6"/>
  <c r="K92" i="6"/>
  <c r="K104" i="6"/>
  <c r="K116" i="6"/>
  <c r="K140" i="6"/>
  <c r="K152" i="6"/>
  <c r="K164" i="6"/>
  <c r="K176" i="6"/>
  <c r="K200" i="6"/>
  <c r="K224" i="6"/>
  <c r="K248" i="6"/>
  <c r="K260" i="6"/>
  <c r="K272" i="6"/>
  <c r="K9" i="6"/>
  <c r="K33" i="6"/>
  <c r="K45" i="6"/>
  <c r="K57" i="6"/>
  <c r="K69" i="6"/>
  <c r="K93" i="6"/>
  <c r="K129" i="6"/>
  <c r="K141" i="6"/>
  <c r="K153" i="6"/>
  <c r="K165" i="6"/>
  <c r="K177" i="6"/>
  <c r="K201" i="6"/>
  <c r="K237" i="6"/>
  <c r="K249" i="6"/>
  <c r="K261" i="6"/>
  <c r="K273" i="6"/>
  <c r="K297" i="6"/>
  <c r="K10" i="6"/>
  <c r="K34" i="6"/>
  <c r="K70" i="6"/>
  <c r="K82" i="6"/>
  <c r="K94" i="6"/>
  <c r="K106" i="6"/>
  <c r="K118" i="6"/>
  <c r="K142" i="6"/>
  <c r="K154" i="6"/>
  <c r="K166" i="6"/>
  <c r="K178" i="6"/>
  <c r="K202" i="6"/>
  <c r="K214" i="6"/>
  <c r="K238" i="6"/>
  <c r="K262" i="6"/>
  <c r="K274" i="6"/>
  <c r="K11" i="6"/>
  <c r="K23" i="6"/>
  <c r="K35" i="6"/>
  <c r="K47" i="6"/>
  <c r="K59" i="6"/>
  <c r="K71" i="6"/>
  <c r="K83" i="6"/>
  <c r="K95" i="6"/>
  <c r="K107" i="6"/>
  <c r="K119" i="6"/>
  <c r="K155" i="6"/>
  <c r="K167" i="6"/>
  <c r="K179" i="6"/>
  <c r="K203" i="6"/>
  <c r="K215" i="6"/>
  <c r="K239" i="6"/>
  <c r="K263" i="6"/>
  <c r="K275" i="6"/>
  <c r="K24" i="6"/>
  <c r="K36" i="6"/>
  <c r="K48" i="6"/>
  <c r="K60" i="6"/>
  <c r="K72" i="6"/>
  <c r="K84" i="6"/>
  <c r="K96" i="6"/>
  <c r="K120" i="6"/>
  <c r="K144" i="6"/>
  <c r="K156" i="6"/>
  <c r="K168" i="6"/>
  <c r="K180" i="6"/>
  <c r="K204" i="6"/>
  <c r="K216" i="6"/>
  <c r="K228" i="6"/>
  <c r="K240" i="6"/>
  <c r="K252" i="6"/>
  <c r="K264" i="6"/>
  <c r="K276" i="6"/>
  <c r="K13" i="6"/>
  <c r="K25" i="6"/>
  <c r="K37" i="6"/>
  <c r="K61" i="6"/>
  <c r="K73" i="6"/>
  <c r="K85" i="6"/>
  <c r="K97" i="6"/>
  <c r="K109" i="6"/>
  <c r="K121" i="6"/>
  <c r="K157" i="6"/>
  <c r="K169" i="6"/>
  <c r="K205" i="6"/>
  <c r="K217" i="6"/>
  <c r="K229" i="6"/>
  <c r="K241" i="6"/>
  <c r="K103" i="6"/>
  <c r="K42" i="6"/>
  <c r="K74" i="6"/>
  <c r="K146" i="6"/>
  <c r="K199" i="6"/>
  <c r="K278" i="6"/>
  <c r="K14" i="6"/>
  <c r="K150" i="6"/>
  <c r="K206" i="6"/>
  <c r="K253" i="6"/>
  <c r="K18" i="6"/>
  <c r="K110" i="6"/>
  <c r="K151" i="6"/>
  <c r="K186" i="6"/>
  <c r="K254" i="6"/>
  <c r="K19" i="6"/>
  <c r="K158" i="6"/>
  <c r="K257" i="6"/>
  <c r="K114" i="6"/>
  <c r="K162" i="6"/>
  <c r="K258" i="6"/>
  <c r="K296" i="6"/>
  <c r="K115" i="6"/>
  <c r="K163" i="6"/>
  <c r="K259" i="6"/>
  <c r="K26" i="6"/>
  <c r="K54" i="6"/>
  <c r="K170" i="6"/>
  <c r="K265" i="6"/>
  <c r="K30" i="6"/>
  <c r="K55" i="6"/>
  <c r="K90" i="6"/>
  <c r="K218" i="6"/>
  <c r="K242" i="6"/>
  <c r="K266" i="6"/>
  <c r="K31" i="6"/>
  <c r="K91" i="6"/>
  <c r="K138" i="6"/>
  <c r="K175" i="6"/>
  <c r="K222" i="6"/>
  <c r="K245" i="6"/>
  <c r="K269" i="6"/>
  <c r="K62" i="6"/>
  <c r="K98" i="6"/>
  <c r="K139" i="6"/>
  <c r="K246" i="6"/>
  <c r="K270" i="6"/>
  <c r="K6" i="6"/>
  <c r="K102" i="6"/>
  <c r="K247" i="6"/>
  <c r="K271" i="6"/>
  <c r="K7" i="6"/>
  <c r="K198" i="6"/>
  <c r="J3" i="6"/>
  <c r="J15" i="6"/>
  <c r="J27" i="6"/>
  <c r="J39" i="6"/>
  <c r="J51" i="6"/>
  <c r="J63" i="6"/>
  <c r="J75" i="6"/>
  <c r="J87" i="6"/>
  <c r="J99" i="6"/>
  <c r="J111" i="6"/>
  <c r="J123" i="6"/>
  <c r="J135" i="6"/>
  <c r="J147" i="6"/>
  <c r="J159" i="6"/>
  <c r="J171" i="6"/>
  <c r="J183" i="6"/>
  <c r="J195" i="6"/>
  <c r="J207" i="6"/>
  <c r="J219" i="6"/>
  <c r="J231" i="6"/>
  <c r="J243" i="6"/>
  <c r="J255" i="6"/>
  <c r="J267" i="6"/>
  <c r="J279" i="6"/>
  <c r="J291" i="6"/>
  <c r="J208" i="6"/>
  <c r="J232" i="6"/>
  <c r="J244" i="6"/>
  <c r="J268" i="6"/>
  <c r="J280" i="6"/>
  <c r="J5" i="6"/>
  <c r="J41" i="6"/>
  <c r="J65" i="6"/>
  <c r="J77" i="6"/>
  <c r="J113" i="6"/>
  <c r="J125" i="6"/>
  <c r="J149" i="6"/>
  <c r="J185" i="6"/>
  <c r="J209" i="6"/>
  <c r="J221" i="6"/>
  <c r="J245" i="6"/>
  <c r="J269" i="6"/>
  <c r="J293" i="6"/>
  <c r="J18" i="6"/>
  <c r="J30" i="6"/>
  <c r="J54" i="6"/>
  <c r="J78" i="6"/>
  <c r="J114" i="6"/>
  <c r="J126" i="6"/>
  <c r="J150" i="6"/>
  <c r="J162" i="6"/>
  <c r="J186" i="6"/>
  <c r="J210" i="6"/>
  <c r="J234" i="6"/>
  <c r="J246" i="6"/>
  <c r="J270" i="6"/>
  <c r="J294" i="6"/>
  <c r="J19" i="6"/>
  <c r="J31" i="6"/>
  <c r="J43" i="6"/>
  <c r="J67" i="6"/>
  <c r="J4" i="6"/>
  <c r="J16" i="6"/>
  <c r="J28" i="6"/>
  <c r="J40" i="6"/>
  <c r="J52" i="6"/>
  <c r="J64" i="6"/>
  <c r="J76" i="6"/>
  <c r="J88" i="6"/>
  <c r="J100" i="6"/>
  <c r="J112" i="6"/>
  <c r="J124" i="6"/>
  <c r="J136" i="6"/>
  <c r="J148" i="6"/>
  <c r="J160" i="6"/>
  <c r="J172" i="6"/>
  <c r="J184" i="6"/>
  <c r="J196" i="6"/>
  <c r="J220" i="6"/>
  <c r="J256" i="6"/>
  <c r="J292" i="6"/>
  <c r="J17" i="6"/>
  <c r="J29" i="6"/>
  <c r="J53" i="6"/>
  <c r="J89" i="6"/>
  <c r="J101" i="6"/>
  <c r="J137" i="6"/>
  <c r="J161" i="6"/>
  <c r="J173" i="6"/>
  <c r="J197" i="6"/>
  <c r="J233" i="6"/>
  <c r="J257" i="6"/>
  <c r="J281" i="6"/>
  <c r="J6" i="6"/>
  <c r="J42" i="6"/>
  <c r="J66" i="6"/>
  <c r="J90" i="6"/>
  <c r="J102" i="6"/>
  <c r="J138" i="6"/>
  <c r="J174" i="6"/>
  <c r="J198" i="6"/>
  <c r="J222" i="6"/>
  <c r="J258" i="6"/>
  <c r="J282" i="6"/>
  <c r="J7" i="6"/>
  <c r="J55" i="6"/>
  <c r="J8" i="6"/>
  <c r="J20" i="6"/>
  <c r="J32" i="6"/>
  <c r="J44" i="6"/>
  <c r="J56" i="6"/>
  <c r="J68" i="6"/>
  <c r="J80" i="6"/>
  <c r="J92" i="6"/>
  <c r="J104" i="6"/>
  <c r="J116" i="6"/>
  <c r="J128" i="6"/>
  <c r="J140" i="6"/>
  <c r="J152" i="6"/>
  <c r="J164" i="6"/>
  <c r="J176" i="6"/>
  <c r="J188" i="6"/>
  <c r="J200" i="6"/>
  <c r="J212" i="6"/>
  <c r="J224" i="6"/>
  <c r="J236" i="6"/>
  <c r="J248" i="6"/>
  <c r="J260" i="6"/>
  <c r="J272" i="6"/>
  <c r="J284" i="6"/>
  <c r="J296" i="6"/>
  <c r="J22" i="6"/>
  <c r="J58" i="6"/>
  <c r="J82" i="6"/>
  <c r="J94" i="6"/>
  <c r="J130" i="6"/>
  <c r="J178" i="6"/>
  <c r="J202" i="6"/>
  <c r="J286" i="6"/>
  <c r="J23" i="6"/>
  <c r="J107" i="6"/>
  <c r="J143" i="6"/>
  <c r="J167" i="6"/>
  <c r="J215" i="6"/>
  <c r="J251" i="6"/>
  <c r="J24" i="6"/>
  <c r="J96" i="6"/>
  <c r="J156" i="6"/>
  <c r="J216" i="6"/>
  <c r="J252" i="6"/>
  <c r="J276" i="6"/>
  <c r="J13" i="6"/>
  <c r="J37" i="6"/>
  <c r="J73" i="6"/>
  <c r="J121" i="6"/>
  <c r="J9" i="6"/>
  <c r="J21" i="6"/>
  <c r="J33" i="6"/>
  <c r="J45" i="6"/>
  <c r="J57" i="6"/>
  <c r="J69" i="6"/>
  <c r="J81" i="6"/>
  <c r="J93" i="6"/>
  <c r="J105" i="6"/>
  <c r="J117" i="6"/>
  <c r="J129" i="6"/>
  <c r="J141" i="6"/>
  <c r="J153" i="6"/>
  <c r="J165" i="6"/>
  <c r="J177" i="6"/>
  <c r="J189" i="6"/>
  <c r="J201" i="6"/>
  <c r="J213" i="6"/>
  <c r="J225" i="6"/>
  <c r="J237" i="6"/>
  <c r="J249" i="6"/>
  <c r="J261" i="6"/>
  <c r="J273" i="6"/>
  <c r="J285" i="6"/>
  <c r="J297" i="6"/>
  <c r="J10" i="6"/>
  <c r="J34" i="6"/>
  <c r="J46" i="6"/>
  <c r="J70" i="6"/>
  <c r="J106" i="6"/>
  <c r="J118" i="6"/>
  <c r="J142" i="6"/>
  <c r="J154" i="6"/>
  <c r="J166" i="6"/>
  <c r="J190" i="6"/>
  <c r="J214" i="6"/>
  <c r="J226" i="6"/>
  <c r="J238" i="6"/>
  <c r="J250" i="6"/>
  <c r="J262" i="6"/>
  <c r="J274" i="6"/>
  <c r="J11" i="6"/>
  <c r="J35" i="6"/>
  <c r="J47" i="6"/>
  <c r="J59" i="6"/>
  <c r="J71" i="6"/>
  <c r="J83" i="6"/>
  <c r="J95" i="6"/>
  <c r="J119" i="6"/>
  <c r="J131" i="6"/>
  <c r="J155" i="6"/>
  <c r="J179" i="6"/>
  <c r="J191" i="6"/>
  <c r="J203" i="6"/>
  <c r="J227" i="6"/>
  <c r="J239" i="6"/>
  <c r="J263" i="6"/>
  <c r="J275" i="6"/>
  <c r="J287" i="6"/>
  <c r="J12" i="6"/>
  <c r="J36" i="6"/>
  <c r="J48" i="6"/>
  <c r="J60" i="6"/>
  <c r="J72" i="6"/>
  <c r="J84" i="6"/>
  <c r="J108" i="6"/>
  <c r="J120" i="6"/>
  <c r="J132" i="6"/>
  <c r="J144" i="6"/>
  <c r="J168" i="6"/>
  <c r="J180" i="6"/>
  <c r="J192" i="6"/>
  <c r="J204" i="6"/>
  <c r="J228" i="6"/>
  <c r="J240" i="6"/>
  <c r="J264" i="6"/>
  <c r="J288" i="6"/>
  <c r="J25" i="6"/>
  <c r="J49" i="6"/>
  <c r="J61" i="6"/>
  <c r="J85" i="6"/>
  <c r="J97" i="6"/>
  <c r="J109" i="6"/>
  <c r="J133" i="6"/>
  <c r="J145" i="6"/>
  <c r="J62" i="6"/>
  <c r="J139" i="6"/>
  <c r="J193" i="6"/>
  <c r="J241" i="6"/>
  <c r="J289" i="6"/>
  <c r="J74" i="6"/>
  <c r="J146" i="6"/>
  <c r="J194" i="6"/>
  <c r="J242" i="6"/>
  <c r="J290" i="6"/>
  <c r="J79" i="6"/>
  <c r="J151" i="6"/>
  <c r="J199" i="6"/>
  <c r="J247" i="6"/>
  <c r="J295" i="6"/>
  <c r="J86" i="6"/>
  <c r="J157" i="6"/>
  <c r="J205" i="6"/>
  <c r="J253" i="6"/>
  <c r="J91" i="6"/>
  <c r="J158" i="6"/>
  <c r="J206" i="6"/>
  <c r="J254" i="6"/>
  <c r="J98" i="6"/>
  <c r="J163" i="6"/>
  <c r="J211" i="6"/>
  <c r="J259" i="6"/>
  <c r="J103" i="6"/>
  <c r="J169" i="6"/>
  <c r="J217" i="6"/>
  <c r="J265" i="6"/>
  <c r="J110" i="6"/>
  <c r="J170" i="6"/>
  <c r="J218" i="6"/>
  <c r="J266" i="6"/>
  <c r="J14" i="6"/>
  <c r="J115" i="6"/>
  <c r="J175" i="6"/>
  <c r="J223" i="6"/>
  <c r="J271" i="6"/>
  <c r="J26" i="6"/>
  <c r="J122" i="6"/>
  <c r="J181" i="6"/>
  <c r="J229" i="6"/>
  <c r="J277" i="6"/>
  <c r="J38" i="6"/>
  <c r="J127" i="6"/>
  <c r="J182" i="6"/>
  <c r="J230" i="6"/>
  <c r="J278" i="6"/>
  <c r="J50" i="6"/>
  <c r="J134" i="6"/>
  <c r="J187" i="6"/>
  <c r="J235" i="6"/>
  <c r="J283" i="6"/>
  <c r="J2" i="6"/>
</calcChain>
</file>

<file path=xl/sharedStrings.xml><?xml version="1.0" encoding="utf-8"?>
<sst xmlns="http://schemas.openxmlformats.org/spreadsheetml/2006/main" count="1609" uniqueCount="791">
  <si>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</si>
  <si>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</si>
  <si>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</si>
  <si>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</si>
  <si>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</si>
  <si>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</si>
  <si>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</si>
  <si>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</si>
  <si>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</si>
  <si>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</si>
  <si>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</si>
  <si>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</si>
  <si>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</si>
  <si>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</si>
  <si>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</si>
  <si>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</si>
  <si>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</si>
  <si>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</si>
  <si>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</si>
  <si>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</si>
  <si>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</si>
  <si>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</si>
  <si>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</si>
  <si>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</si>
  <si>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</si>
  <si>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</si>
  <si>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</si>
  <si>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</si>
  <si>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</si>
  <si>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</si>
  <si>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</si>
  <si>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</si>
  <si>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</si>
  <si>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</si>
  <si>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</si>
  <si>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</si>
  <si>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</si>
  <si>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</si>
  <si>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</si>
  <si>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</si>
  <si>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</si>
  <si>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</si>
  <si>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</si>
  <si>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</si>
  <si>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</si>
  <si>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</si>
  <si>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</si>
  <si>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</si>
  <si>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</si>
  <si>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</si>
  <si>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</si>
  <si>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</si>
  <si>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</si>
  <si>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</si>
  <si>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</si>
  <si>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</si>
  <si>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</si>
  <si>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</si>
  <si>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</si>
  <si>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</si>
  <si>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</si>
  <si>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</si>
  <si>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</si>
  <si>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</si>
  <si>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</si>
  <si>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</si>
  <si>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</si>
  <si>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</si>
  <si>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</si>
  <si>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</si>
  <si>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</si>
  <si>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</si>
  <si>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</si>
  <si>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</si>
  <si>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</si>
  <si>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</si>
  <si>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</si>
  <si>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</si>
  <si>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</si>
  <si>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</si>
  <si>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</si>
  <si>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</si>
  <si>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</si>
  <si>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</si>
  <si>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</si>
  <si>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</si>
  <si>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</si>
  <si>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</si>
  <si>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</si>
  <si>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</si>
  <si>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</si>
  <si>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</si>
  <si>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</si>
  <si>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</si>
  <si>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</si>
  <si>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</si>
  <si>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</si>
  <si>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</si>
  <si>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</si>
  <si>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</si>
  <si>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</si>
  <si>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</si>
  <si>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</si>
  <si>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</si>
  <si>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</si>
  <si>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</si>
  <si>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</si>
  <si>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</si>
  <si>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</si>
  <si>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</si>
  <si>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</si>
  <si>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</si>
  <si>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</si>
  <si>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</si>
  <si>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</si>
  <si>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</si>
  <si>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</si>
  <si>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</si>
  <si>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</si>
  <si>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</si>
  <si>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</si>
  <si>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</si>
  <si>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</si>
  <si>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</si>
  <si>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</si>
  <si>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</si>
  <si>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</si>
  <si>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</si>
  <si>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</si>
  <si>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</si>
  <si>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</si>
  <si>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</si>
  <si>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</si>
  <si>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</si>
  <si>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</si>
  <si>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</si>
  <si>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</si>
  <si>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</si>
  <si>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</si>
  <si>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</si>
  <si>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</si>
  <si>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</si>
  <si>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</si>
  <si>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</si>
  <si>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</si>
  <si>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</si>
  <si>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</si>
  <si>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</si>
  <si>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</si>
  <si>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</si>
  <si>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</si>
  <si>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</si>
  <si>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</si>
  <si>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</si>
  <si>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</si>
  <si>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</si>
  <si>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</si>
  <si>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</si>
  <si>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</si>
  <si>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</si>
  <si>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</si>
  <si>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</si>
  <si>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</si>
  <si>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</si>
  <si>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</si>
  <si>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</si>
  <si>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</si>
  <si>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</si>
  <si>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</si>
  <si>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</si>
  <si>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</si>
  <si>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</si>
  <si>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</si>
  <si>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</si>
  <si>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</si>
  <si>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</si>
  <si>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</si>
  <si>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</si>
  <si>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</si>
  <si>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</si>
  <si>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</si>
  <si>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</si>
  <si>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</si>
  <si>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</si>
  <si>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</si>
  <si>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</si>
  <si>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</si>
  <si>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</si>
  <si>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</si>
  <si>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</si>
  <si>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</si>
  <si>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</si>
  <si>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</si>
  <si>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</si>
  <si>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</si>
  <si>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</si>
  <si>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</si>
  <si>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</si>
  <si>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</si>
  <si>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</si>
  <si>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</si>
  <si>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</si>
  <si>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</si>
  <si>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</si>
  <si>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</si>
  <si>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</si>
  <si>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</si>
  <si>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</si>
  <si>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</si>
  <si>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</si>
  <si>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</si>
  <si>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</si>
  <si>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</si>
  <si>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</si>
  <si>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</si>
  <si>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</si>
  <si>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</si>
  <si>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</si>
  <si>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</si>
  <si>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</si>
  <si>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</si>
  <si>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</si>
  <si>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</si>
  <si>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</si>
  <si>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</si>
  <si>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</si>
  <si>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</si>
  <si>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</si>
  <si>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</si>
  <si>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</si>
  <si>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</si>
  <si>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</si>
  <si>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</si>
  <si>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</si>
  <si>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</si>
  <si>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</si>
  <si>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</si>
  <si>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</si>
  <si>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</si>
  <si>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</si>
  <si>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</si>
  <si>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</si>
  <si>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</si>
  <si>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</si>
  <si>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</si>
  <si>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</si>
  <si>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</si>
  <si>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</si>
  <si>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</si>
  <si>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</si>
  <si>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</si>
  <si>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</si>
  <si>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</si>
  <si>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</si>
  <si>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</si>
  <si>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</si>
  <si>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</si>
  <si>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</si>
  <si>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</si>
  <si>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</si>
  <si>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</si>
  <si>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</si>
  <si>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</si>
  <si>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</si>
  <si>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</si>
  <si>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</si>
  <si>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</si>
  <si>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</si>
  <si>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</si>
  <si>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</si>
  <si>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</si>
  <si>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</si>
  <si>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</si>
  <si>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</si>
  <si>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</si>
  <si>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</si>
  <si>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</si>
  <si>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</si>
  <si>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</si>
  <si>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</si>
  <si>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</si>
  <si>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</si>
  <si>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</si>
  <si>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</si>
  <si>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</si>
  <si>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</si>
  <si>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</si>
  <si>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</si>
  <si>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</si>
  <si>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</si>
  <si>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</si>
  <si>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</si>
  <si>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</si>
  <si>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</si>
  <si>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</si>
  <si>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</si>
  <si>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</si>
  <si>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</si>
  <si>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</si>
  <si>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</si>
  <si>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</si>
  <si>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</si>
  <si>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</si>
  <si>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</si>
  <si>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</si>
  <si>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</si>
  <si>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</si>
  <si>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</si>
  <si>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</si>
  <si>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</si>
  <si>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</si>
  <si>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</si>
  <si>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</si>
  <si>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</si>
  <si>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</si>
  <si>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</si>
  <si>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</si>
  <si>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</si>
  <si>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</si>
  <si>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</si>
  <si>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</si>
  <si>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</si>
  <si>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</si>
  <si>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</si>
  <si>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</si>
  <si>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</si>
  <si>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</si>
  <si>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</si>
  <si>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</si>
  <si>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</si>
  <si>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</si>
  <si>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</si>
  <si>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</si>
  <si>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</si>
  <si>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</si>
  <si>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</si>
  <si>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</si>
  <si>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</si>
  <si>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</si>
  <si>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</si>
  <si>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</si>
  <si>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</si>
  <si>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</si>
  <si>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</si>
  <si>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</si>
  <si>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</si>
  <si>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</si>
  <si>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</si>
  <si>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</si>
  <si>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</si>
  <si>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</si>
  <si>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</si>
  <si>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</si>
  <si>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</si>
  <si>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</si>
  <si>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</si>
  <si>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</si>
  <si>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</si>
  <si>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</si>
  <si>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</si>
  <si>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</si>
  <si>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</si>
  <si>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</si>
  <si>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</si>
  <si>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</si>
  <si>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</si>
  <si>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</si>
  <si>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</si>
  <si>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</si>
  <si>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</si>
  <si>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</si>
  <si>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</si>
  <si>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</si>
  <si>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</si>
  <si>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</si>
  <si>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</si>
  <si>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</si>
  <si>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</si>
  <si>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</si>
  <si>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</si>
  <si>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</si>
  <si>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</si>
  <si>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</si>
  <si>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</si>
  <si>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</si>
  <si>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</si>
  <si>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</si>
  <si>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</si>
  <si>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</si>
  <si>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</si>
  <si>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</si>
  <si>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</si>
  <si>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</si>
  <si>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</si>
  <si>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</si>
  <si>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</si>
  <si>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</si>
  <si>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</si>
  <si>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</si>
  <si>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</si>
  <si>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</si>
  <si>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</si>
  <si>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</si>
  <si>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</si>
  <si>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</si>
  <si>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</si>
  <si>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</si>
  <si>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</si>
  <si>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</si>
  <si>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</si>
  <si>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</si>
  <si>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</si>
  <si>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</si>
  <si>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</si>
  <si>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</si>
  <si>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</si>
  <si>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</si>
  <si>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</si>
  <si>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</si>
  <si>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</si>
  <si>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</si>
  <si>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</si>
  <si>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</si>
  <si>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</si>
  <si>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</si>
  <si>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</si>
  <si>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</si>
  <si>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</si>
  <si>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</si>
  <si>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</si>
  <si>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</si>
  <si>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</si>
  <si>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</si>
  <si>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</si>
  <si>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</si>
  <si>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</si>
  <si>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</si>
  <si>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</si>
  <si>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</si>
  <si>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</si>
  <si>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</si>
  <si>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</si>
  <si>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</si>
  <si>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</si>
  <si>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</si>
  <si>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</si>
  <si>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</si>
  <si>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</si>
  <si>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</si>
  <si>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</si>
  <si>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</si>
  <si>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</si>
  <si>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</si>
  <si>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</si>
  <si>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</si>
  <si>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</si>
  <si>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</si>
  <si>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</si>
  <si>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</si>
  <si>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</si>
  <si>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</si>
  <si>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</si>
  <si>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</si>
  <si>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</si>
  <si>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</si>
  <si>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</si>
  <si>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</si>
  <si>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</si>
  <si>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</si>
  <si>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</si>
  <si>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</si>
  <si>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</si>
  <si>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</si>
  <si>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</si>
  <si>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</si>
  <si>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</si>
  <si>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</si>
  <si>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</si>
  <si>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</si>
  <si>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</si>
  <si>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</si>
  <si>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</si>
  <si>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</si>
  <si>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</si>
  <si>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</si>
  <si>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</si>
  <si>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</si>
  <si>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</si>
  <si>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</si>
  <si>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</si>
  <si>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</si>
  <si>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</si>
  <si>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</si>
  <si>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</si>
  <si>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</si>
  <si>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</si>
  <si>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</si>
  <si>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</si>
  <si>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</si>
  <si>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</si>
  <si>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</si>
  <si>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</si>
  <si>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</si>
  <si>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</si>
  <si>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</si>
  <si>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</si>
  <si>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</si>
  <si>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</si>
  <si>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</si>
  <si>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</si>
  <si>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</si>
  <si>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</si>
  <si>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</si>
  <si>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</si>
  <si>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</si>
  <si>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</si>
  <si>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</si>
  <si>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</si>
  <si>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</si>
  <si>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</si>
  <si>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</si>
  <si>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</si>
  <si>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</si>
  <si>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</si>
  <si>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</si>
  <si>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</si>
  <si>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</si>
  <si>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</si>
  <si>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</si>
  <si>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</si>
  <si>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</si>
  <si>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</si>
  <si>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</si>
  <si>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</si>
  <si>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</si>
  <si>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</si>
  <si>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</si>
  <si>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</si>
  <si>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</si>
  <si>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</si>
  <si>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</si>
  <si>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</si>
  <si>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</si>
  <si>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</si>
  <si>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</si>
  <si>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</si>
  <si>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</si>
  <si>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</si>
  <si>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</si>
  <si>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</si>
  <si>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</si>
  <si>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</si>
  <si>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</si>
  <si>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</si>
  <si>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</si>
  <si>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</si>
  <si>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</si>
  <si>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</si>
  <si>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</si>
  <si>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</si>
  <si>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</si>
  <si>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</si>
  <si>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</si>
  <si>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</si>
  <si>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</si>
  <si>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</si>
  <si>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</si>
  <si>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</si>
  <si>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</si>
  <si>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</si>
  <si>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</si>
  <si>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</si>
  <si>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</si>
  <si>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</si>
  <si>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</si>
  <si>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</si>
  <si>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</si>
  <si>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</si>
  <si>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</si>
  <si>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</si>
  <si>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</si>
  <si>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</si>
  <si>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</si>
  <si>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</si>
  <si>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</si>
  <si>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</si>
  <si>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</si>
  <si>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</si>
  <si>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</si>
  <si>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</si>
  <si>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</si>
  <si>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</si>
  <si>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</si>
  <si>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</si>
  <si>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</si>
  <si>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</si>
  <si>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</si>
  <si>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</si>
  <si>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</si>
  <si>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</si>
  <si>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</si>
  <si>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</si>
  <si>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</si>
  <si>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</si>
  <si>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</si>
  <si>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</si>
  <si>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</si>
  <si>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</si>
  <si>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</si>
  <si>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</si>
  <si>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</si>
  <si>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</si>
  <si>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</si>
  <si>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</si>
  <si>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</si>
  <si>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</si>
  <si>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</si>
  <si>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</si>
  <si>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</si>
  <si>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</si>
  <si>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</si>
  <si>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</si>
  <si>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</si>
  <si>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</si>
  <si>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</si>
  <si>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</si>
  <si>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</si>
  <si>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</si>
  <si>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</si>
  <si>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</si>
  <si>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</si>
  <si>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</si>
  <si>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</si>
  <si>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</si>
  <si>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</si>
  <si>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</si>
  <si>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</si>
  <si>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</si>
  <si>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</si>
  <si>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</si>
  <si>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</si>
  <si>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</si>
  <si>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</si>
  <si>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</si>
  <si>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</si>
  <si>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</si>
  <si>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</si>
  <si>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</si>
  <si>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</si>
  <si>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</si>
  <si>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</si>
  <si>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</si>
  <si>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</si>
  <si>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</si>
  <si>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</si>
  <si>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</si>
  <si>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</si>
  <si>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</si>
  <si>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</si>
  <si>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</si>
  <si>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</si>
  <si>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</si>
  <si>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</si>
  <si>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</si>
  <si>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</si>
  <si>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</si>
  <si>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</si>
  <si>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</si>
  <si>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</si>
  <si>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</si>
  <si>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</si>
  <si>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</si>
  <si>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</si>
  <si>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</si>
  <si>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</si>
  <si>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</si>
  <si>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</si>
  <si>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</si>
  <si>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</si>
  <si>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</si>
  <si>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</si>
  <si>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</si>
  <si>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</si>
  <si>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</si>
  <si>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</si>
  <si>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</si>
  <si>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</si>
  <si>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</si>
  <si>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</si>
  <si>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</si>
  <si>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</si>
  <si>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</si>
  <si>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</si>
  <si>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</si>
  <si>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</si>
  <si>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</si>
  <si>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</si>
  <si>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</si>
  <si>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</si>
  <si>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</si>
  <si>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</si>
  <si>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</si>
  <si>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</si>
  <si>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</si>
  <si>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</si>
  <si>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</si>
  <si>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</si>
  <si>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</si>
  <si>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</si>
  <si>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</si>
  <si>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</si>
  <si>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</si>
  <si>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</si>
  <si>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</si>
  <si>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</si>
  <si>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</si>
  <si>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</si>
  <si>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</si>
  <si>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</si>
  <si>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</si>
  <si>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</si>
  <si>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</si>
  <si>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</si>
  <si>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</si>
  <si>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</si>
  <si>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</si>
  <si>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</si>
  <si>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</si>
  <si>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</si>
  <si>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</si>
  <si>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</si>
  <si>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</si>
  <si>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</si>
  <si>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</si>
  <si>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</si>
  <si>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</si>
  <si>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</si>
  <si>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</si>
  <si>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</si>
  <si>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</si>
  <si>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</si>
  <si>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</si>
  <si>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</si>
  <si>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</si>
  <si>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</si>
  <si>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</si>
  <si>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</si>
  <si>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</si>
  <si>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</si>
  <si>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</si>
  <si>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</si>
  <si>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</si>
  <si>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</si>
  <si>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</si>
  <si>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</si>
  <si>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</si>
  <si>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</si>
  <si>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</si>
  <si>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</si>
  <si>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</si>
  <si>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</si>
  <si>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</si>
  <si>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</si>
  <si>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</si>
  <si>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</si>
  <si>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</si>
  <si>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</si>
  <si>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</si>
  <si>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</si>
  <si>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</si>
  <si>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</si>
  <si>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</si>
  <si>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</si>
  <si>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</si>
  <si>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</si>
  <si>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</si>
  <si>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</si>
  <si>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</si>
  <si>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</si>
  <si>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</si>
  <si>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</si>
  <si>
    <t>FC018</t>
  </si>
  <si>
    <t>บึงกาฬ</t>
  </si>
  <si>
    <t>หจก.เซ็นจูรี่บึงกาฬ</t>
  </si>
  <si>
    <t>BG</t>
  </si>
  <si>
    <t>สัญญา</t>
  </si>
  <si>
    <t>วงเงินรวม SCG</t>
  </si>
  <si>
    <t>ค้ำประกันรายได้</t>
  </si>
  <si>
    <t>ค้ำเงินสด</t>
  </si>
  <si>
    <t>31 มี.ค. 72</t>
  </si>
  <si>
    <t>ว/ด/ป ปัจจุบัน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</si>
</sst>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[$-101041E]d\ mmm\ yy;@"/>
    <numFmt numFmtId="166" formatCode="dd/ดดด/yy"/>
    <numFmt numFmtId="167" formatCode="0.0"/>
  </numFmts>
  <fonts count="19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  <font>
      <b/>
      <sz val="10"/>
      <color theme="1"/>
      <name val="SCG"/>
      <family val="3"/>
    </font>
    <font>
      <b/>
      <sz val="10"/>
      <color theme="0"/>
      <name val="SCG"/>
      <family val="3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8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6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6" fontId="11" fillId="6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6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6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6" fontId="11" fillId="6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7" fillId="0" borderId="0" xfId="0" applyFont="1"/>
    <xf numFmtId="14" fontId="18" fillId="9" borderId="2" xfId="0" applyNumberFormat="1" applyFont="1" applyFill="1" applyBorder="1"/>
    <xf numFmtId="0" fontId="17" fillId="0" borderId="0" xfId="0" applyFont="1" applyAlignment="1">
      <alignment horizontal="center" vertical="center"/>
    </xf>
    <xf numFmtId="167" fontId="17" fillId="0" borderId="0" xfId="0" applyNumberFormat="1" applyFont="1" applyAlignment="1">
      <alignment horizontal="right"/>
    </xf>
    <xf numFmtId="165" fontId="11" fillId="3" borderId="2" xfId="11" applyNumberFormat="1" applyFont="1" applyFill="1" applyBorder="1" applyAlignment="1">
      <alignment horizontal="center"/>
    </xf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3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G297"/>
  <sheetViews>
    <sheetView tabSelected="1" zoomScaleNormal="10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F1" sqref="F1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8" width="12.90625" style="5" customWidth="1"/>
    <col min="9" max="9" width="13.6328125" style="52" bestFit="1" customWidth="1"/>
    <col min="10" max="10" width="12.453125" style="5" bestFit="1" customWidth="1"/>
    <col min="11" max="16384" width="8.81640625" style="5"/>
  </cols>
  <sheetData>
    <row r="1" spans="1:14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  <c r="H1" s="4" t="s">
        <v>785</v>
      </c>
      <c r="I1" s="51" t="s">
        <v>784</v>
      </c>
      <c r="J1" s="53" t="s">
        <v>790</v>
      </c>
      <c r="K1" s="54">
        <f ca="1" xml:space="preserve"> EDATE(TODAY(),543*12)</f>
        <v>244594</v>
      </c>
      <c r="M1" s="55"/>
      <c r="N1" s="55"/>
    </row>
    <row r="2" spans="1:14" ht="20.25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  <c r="H2" s="57">
        <v>245048</v>
      </c>
      <c r="I2" s="57">
        <v>245230</v>
      </c>
      <c r="J2" s="56">
        <f ca="1">IFERROR((H2-$K$1),0)</f>
        <v>454</v>
      </c>
      <c r="K2" s="56">
        <f ca="1">IF(I2="ยังไม่ได้ทำ BG",-9999,IF(OR(I2="ค้ำเงินสด",I2="ค้ำประกันรายได้",I2="วงเงินรวม SCG"),999,IFERROR((I2-$K$1),0)))</f>
        <v>636</v>
      </c>
    </row>
    <row r="3" spans="1:14" ht="21.75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  <c r="H3" s="57">
        <v>245048</v>
      </c>
      <c r="I3" s="57" t="s">
        <v>787</v>
      </c>
      <c r="J3" s="56">
        <f t="shared" ref="J3:J66" ca="1" si="0">IFERROR((H3-$K$1),0)</f>
        <v>454</v>
      </c>
      <c r="K3" s="56">
        <f t="shared" ref="K3:K66" si="1">IF(I3="ยังไม่ได้ทำ BG",-9999,IF(OR(I3="ค้ำเงินสด",I3="ค้ำประกันรายได้",I3="วงเงินรวม SCG"),999,IFERROR((I3-$K$1),0)))</f>
        <v>999</v>
      </c>
    </row>
    <row r="4" spans="1:14" ht="21.75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  <c r="H4" s="57">
        <v>245413</v>
      </c>
      <c r="I4" s="57" t="s">
        <v>787</v>
      </c>
      <c r="J4" s="56">
        <f t="shared" ca="1" si="0"/>
        <v>819</v>
      </c>
      <c r="K4" s="56">
        <f t="shared" si="1"/>
        <v>999</v>
      </c>
    </row>
    <row r="5" spans="1:14" ht="21.75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  <c r="H5" s="57">
        <v>245413</v>
      </c>
      <c r="I5" s="57" t="s">
        <v>787</v>
      </c>
      <c r="J5" s="56">
        <f t="shared" ca="1" si="0"/>
        <v>819</v>
      </c>
      <c r="K5" s="56">
        <f t="shared" si="1"/>
        <v>999</v>
      </c>
    </row>
    <row r="6" spans="1:14" ht="2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  <c r="H6" s="57">
        <v>245413</v>
      </c>
      <c r="I6" s="57">
        <v>244866</v>
      </c>
      <c r="J6" s="56">
        <f t="shared" ca="1" si="0"/>
        <v>819</v>
      </c>
      <c r="K6" s="56">
        <f t="shared" ca="1" si="1"/>
        <v>272</v>
      </c>
    </row>
    <row r="7" spans="1:14" ht="20.25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  <c r="H7" s="57">
        <v>245413</v>
      </c>
      <c r="I7" s="57">
        <v>244866</v>
      </c>
      <c r="J7" s="56">
        <f t="shared" ca="1" si="0"/>
        <v>819</v>
      </c>
      <c r="K7" s="56">
        <f t="shared" ca="1" si="1"/>
        <v>272</v>
      </c>
    </row>
    <row r="8" spans="1:14" ht="21.75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  <c r="H8" s="57">
        <v>245048</v>
      </c>
      <c r="I8" s="57">
        <v>244866</v>
      </c>
      <c r="J8" s="56">
        <f t="shared" ca="1" si="0"/>
        <v>454</v>
      </c>
      <c r="K8" s="56">
        <f t="shared" ca="1" si="1"/>
        <v>272</v>
      </c>
    </row>
    <row r="9" spans="1:14" ht="20.25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  <c r="H9" s="57">
        <v>245048</v>
      </c>
      <c r="I9" s="57">
        <v>244866</v>
      </c>
      <c r="J9" s="56">
        <f t="shared" ca="1" si="0"/>
        <v>454</v>
      </c>
      <c r="K9" s="56">
        <f t="shared" ca="1" si="1"/>
        <v>272</v>
      </c>
    </row>
    <row r="10" spans="1:14" ht="20.25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  <c r="H10" s="57">
        <v>244683</v>
      </c>
      <c r="I10" s="57">
        <v>245291</v>
      </c>
      <c r="J10" s="56">
        <f t="shared" ca="1" si="0"/>
        <v>89</v>
      </c>
      <c r="K10" s="56">
        <f t="shared" ca="1" si="1"/>
        <v>697</v>
      </c>
    </row>
    <row r="11" spans="1:14" ht="21.75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  <c r="H11" s="57">
        <v>245048</v>
      </c>
      <c r="I11" s="57">
        <v>245072</v>
      </c>
      <c r="J11" s="56">
        <f t="shared" ca="1" si="0"/>
        <v>454</v>
      </c>
      <c r="K11" s="56">
        <f t="shared" ca="1" si="1"/>
        <v>478</v>
      </c>
    </row>
    <row r="12" spans="1:14" ht="20.25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  <c r="H12" s="57">
        <v>244683</v>
      </c>
      <c r="I12" s="57" t="s">
        <v>786</v>
      </c>
      <c r="J12" s="56">
        <f t="shared" ca="1" si="0"/>
        <v>89</v>
      </c>
      <c r="K12" s="56">
        <f t="shared" si="1"/>
        <v>999</v>
      </c>
    </row>
    <row r="13" spans="1:14" ht="20.25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  <c r="H13" s="57">
        <v>244683</v>
      </c>
      <c r="I13" s="57">
        <v>245048</v>
      </c>
      <c r="J13" s="56">
        <f t="shared" ca="1" si="0"/>
        <v>89</v>
      </c>
      <c r="K13" s="56">
        <f t="shared" ca="1" si="1"/>
        <v>454</v>
      </c>
    </row>
    <row r="14" spans="1:14" ht="20.25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  <c r="H14" s="57">
        <v>244683</v>
      </c>
      <c r="I14" s="57">
        <v>245048</v>
      </c>
      <c r="J14" s="56">
        <f t="shared" ca="1" si="0"/>
        <v>89</v>
      </c>
      <c r="K14" s="56">
        <f t="shared" ca="1" si="1"/>
        <v>454</v>
      </c>
    </row>
    <row r="15" spans="1:14" ht="20.25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  <c r="H15" s="57">
        <v>245413</v>
      </c>
      <c r="I15" s="57">
        <v>245048</v>
      </c>
      <c r="J15" s="56">
        <f t="shared" ca="1" si="0"/>
        <v>819</v>
      </c>
      <c r="K15" s="56">
        <f t="shared" ca="1" si="1"/>
        <v>454</v>
      </c>
    </row>
    <row r="16" spans="1:14" ht="20.25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  <c r="H16" s="57">
        <v>245048</v>
      </c>
      <c r="I16" s="57">
        <v>245048</v>
      </c>
      <c r="J16" s="56">
        <f t="shared" ca="1" si="0"/>
        <v>454</v>
      </c>
      <c r="K16" s="56">
        <f t="shared" ca="1" si="1"/>
        <v>454</v>
      </c>
    </row>
    <row r="17" spans="1:11" ht="21.75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  <c r="H17" s="57">
        <v>245048</v>
      </c>
      <c r="I17" s="57">
        <v>245169</v>
      </c>
      <c r="J17" s="56">
        <f t="shared" ca="1" si="0"/>
        <v>454</v>
      </c>
      <c r="K17" s="56">
        <f t="shared" ca="1" si="1"/>
        <v>575</v>
      </c>
    </row>
    <row r="18" spans="1:11" ht="20.25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  <c r="H18" s="57">
        <v>244683</v>
      </c>
      <c r="I18" s="57">
        <v>244804</v>
      </c>
      <c r="J18" s="56">
        <f t="shared" ca="1" si="0"/>
        <v>89</v>
      </c>
      <c r="K18" s="56">
        <f t="shared" ca="1" si="1"/>
        <v>210</v>
      </c>
    </row>
    <row r="19" spans="1:11" ht="21.75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  <c r="H19" s="57">
        <v>245413</v>
      </c>
      <c r="I19" s="57">
        <v>245535</v>
      </c>
      <c r="J19" s="56">
        <f t="shared" ca="1" si="0"/>
        <v>819</v>
      </c>
      <c r="K19" s="56">
        <f t="shared" ca="1" si="1"/>
        <v>941</v>
      </c>
    </row>
    <row r="20" spans="1:11" ht="21.75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  <c r="H20" s="57">
        <v>244683</v>
      </c>
      <c r="I20" s="57">
        <v>245019</v>
      </c>
      <c r="J20" s="56">
        <f t="shared" ca="1" si="0"/>
        <v>89</v>
      </c>
      <c r="K20" s="56">
        <f t="shared" ca="1" si="1"/>
        <v>425</v>
      </c>
    </row>
    <row r="21" spans="1:11" ht="21.75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  <c r="H21" s="57">
        <v>245413</v>
      </c>
      <c r="I21" s="57" t="s">
        <v>786</v>
      </c>
      <c r="J21" s="56">
        <f t="shared" ca="1" si="0"/>
        <v>819</v>
      </c>
      <c r="K21" s="56">
        <f t="shared" si="1"/>
        <v>999</v>
      </c>
    </row>
    <row r="22" spans="1:11" ht="21.75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  <c r="H22" s="57">
        <v>245048</v>
      </c>
      <c r="I22" s="57" t="s">
        <v>786</v>
      </c>
      <c r="J22" s="56">
        <f t="shared" ca="1" si="0"/>
        <v>454</v>
      </c>
      <c r="K22" s="56">
        <f t="shared" si="1"/>
        <v>999</v>
      </c>
    </row>
    <row r="23" spans="1:11" ht="21.75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  <c r="H23" s="57">
        <v>244683</v>
      </c>
      <c r="I23" s="57">
        <v>244877</v>
      </c>
      <c r="J23" s="56">
        <f t="shared" ca="1" si="0"/>
        <v>89</v>
      </c>
      <c r="K23" s="56">
        <f t="shared" ca="1" si="1"/>
        <v>283</v>
      </c>
    </row>
    <row r="24" spans="1:11" ht="21.75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  <c r="H24" s="57">
        <v>244683</v>
      </c>
      <c r="I24" s="57">
        <v>244877</v>
      </c>
      <c r="J24" s="56">
        <f t="shared" ca="1" si="0"/>
        <v>89</v>
      </c>
      <c r="K24" s="56">
        <f t="shared" ca="1" si="1"/>
        <v>283</v>
      </c>
    </row>
    <row r="25" spans="1:11" ht="20.25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  <c r="H25" s="57">
        <v>245413</v>
      </c>
      <c r="I25" s="57">
        <v>244877</v>
      </c>
      <c r="J25" s="56">
        <f t="shared" ca="1" si="0"/>
        <v>819</v>
      </c>
      <c r="K25" s="56">
        <f t="shared" ca="1" si="1"/>
        <v>283</v>
      </c>
    </row>
    <row r="26" spans="1:11" ht="21.75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  <c r="H26" s="57">
        <v>245413</v>
      </c>
      <c r="I26" s="57">
        <v>245533</v>
      </c>
      <c r="J26" s="56">
        <f t="shared" ca="1" si="0"/>
        <v>819</v>
      </c>
      <c r="K26" s="56">
        <f t="shared" ca="1" si="1"/>
        <v>939</v>
      </c>
    </row>
    <row r="27" spans="1:11" ht="21.75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  <c r="H27" s="57">
        <v>245413</v>
      </c>
      <c r="I27" s="57">
        <v>244622</v>
      </c>
      <c r="J27" s="56">
        <f t="shared" ca="1" si="0"/>
        <v>819</v>
      </c>
      <c r="K27" s="56">
        <f t="shared" ca="1" si="1"/>
        <v>28</v>
      </c>
    </row>
    <row r="28" spans="1:11" ht="21.75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  <c r="H28" s="57">
        <v>245413</v>
      </c>
      <c r="I28" s="57">
        <v>244622</v>
      </c>
      <c r="J28" s="56">
        <f t="shared" ca="1" si="0"/>
        <v>819</v>
      </c>
      <c r="K28" s="56">
        <f t="shared" ca="1" si="1"/>
        <v>28</v>
      </c>
    </row>
    <row r="29" spans="1:11" ht="21.75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  <c r="H29" s="57">
        <v>245048</v>
      </c>
      <c r="I29" s="57">
        <v>244622</v>
      </c>
      <c r="J29" s="56">
        <f t="shared" ca="1" si="0"/>
        <v>454</v>
      </c>
      <c r="K29" s="56">
        <f t="shared" ca="1" si="1"/>
        <v>28</v>
      </c>
    </row>
    <row r="30" spans="1:11" ht="21.75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  <c r="H30" s="57">
        <v>244683</v>
      </c>
      <c r="I30" s="57">
        <v>244622</v>
      </c>
      <c r="J30" s="56">
        <f t="shared" ca="1" si="0"/>
        <v>89</v>
      </c>
      <c r="K30" s="56">
        <f t="shared" ca="1" si="1"/>
        <v>28</v>
      </c>
    </row>
    <row r="31" spans="1:11" ht="21.75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  <c r="H31" s="57">
        <v>245413</v>
      </c>
      <c r="I31" s="57">
        <v>244675</v>
      </c>
      <c r="J31" s="56">
        <f t="shared" ca="1" si="0"/>
        <v>819</v>
      </c>
      <c r="K31" s="56">
        <f t="shared" ca="1" si="1"/>
        <v>81</v>
      </c>
    </row>
    <row r="32" spans="1:11" ht="21.75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  <c r="H32" s="57">
        <v>244683</v>
      </c>
      <c r="I32" s="57">
        <v>244675</v>
      </c>
      <c r="J32" s="56">
        <f t="shared" ca="1" si="0"/>
        <v>89</v>
      </c>
      <c r="K32" s="56">
        <f t="shared" ca="1" si="1"/>
        <v>81</v>
      </c>
    </row>
    <row r="33" spans="1:11" ht="21.75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  <c r="H33" s="57">
        <v>244683</v>
      </c>
      <c r="I33" s="57">
        <v>245048</v>
      </c>
      <c r="J33" s="56">
        <f t="shared" ca="1" si="0"/>
        <v>89</v>
      </c>
      <c r="K33" s="56">
        <f t="shared" ca="1" si="1"/>
        <v>454</v>
      </c>
    </row>
    <row r="34" spans="1:11" ht="21.75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  <c r="H34" s="57">
        <v>245048</v>
      </c>
      <c r="I34" s="57">
        <v>245048</v>
      </c>
      <c r="J34" s="56">
        <f t="shared" ca="1" si="0"/>
        <v>454</v>
      </c>
      <c r="K34" s="56">
        <f t="shared" ca="1" si="1"/>
        <v>454</v>
      </c>
    </row>
    <row r="35" spans="1:11" ht="21.75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  <c r="H35" s="57">
        <v>245413</v>
      </c>
      <c r="I35" s="57">
        <v>245048</v>
      </c>
      <c r="J35" s="56">
        <f t="shared" ca="1" si="0"/>
        <v>819</v>
      </c>
      <c r="K35" s="56">
        <f t="shared" ca="1" si="1"/>
        <v>454</v>
      </c>
    </row>
    <row r="36" spans="1:11" ht="21.75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  <c r="H36" s="57">
        <v>244683</v>
      </c>
      <c r="I36" s="57">
        <v>244865</v>
      </c>
      <c r="J36" s="56">
        <f t="shared" ca="1" si="0"/>
        <v>89</v>
      </c>
      <c r="K36" s="56">
        <f t="shared" ca="1" si="1"/>
        <v>271</v>
      </c>
    </row>
    <row r="37" spans="1:11" ht="20.25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  <c r="H37" s="57">
        <v>244683</v>
      </c>
      <c r="I37" s="57">
        <v>244865</v>
      </c>
      <c r="J37" s="56">
        <f t="shared" ca="1" si="0"/>
        <v>89</v>
      </c>
      <c r="K37" s="56">
        <f t="shared" ca="1" si="1"/>
        <v>271</v>
      </c>
    </row>
    <row r="38" spans="1:11" ht="2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  <c r="H38" s="57">
        <v>245048</v>
      </c>
      <c r="I38" s="57" t="s">
        <v>786</v>
      </c>
      <c r="J38" s="56">
        <f t="shared" ca="1" si="0"/>
        <v>454</v>
      </c>
      <c r="K38" s="56">
        <f t="shared" si="1"/>
        <v>999</v>
      </c>
    </row>
    <row r="39" spans="1:11" ht="21.75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  <c r="H39" s="57">
        <v>245048</v>
      </c>
      <c r="I39" s="57" t="s">
        <v>786</v>
      </c>
      <c r="J39" s="56">
        <f t="shared" ca="1" si="0"/>
        <v>454</v>
      </c>
      <c r="K39" s="56">
        <f t="shared" si="1"/>
        <v>999</v>
      </c>
    </row>
    <row r="40" spans="1:11" ht="20.25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  <c r="H40" s="57">
        <v>245048</v>
      </c>
      <c r="I40" s="57" t="s">
        <v>786</v>
      </c>
      <c r="J40" s="56">
        <f t="shared" ca="1" si="0"/>
        <v>454</v>
      </c>
      <c r="K40" s="56">
        <f t="shared" si="1"/>
        <v>999</v>
      </c>
    </row>
    <row r="41" spans="1:11" ht="21.75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  <c r="H41" s="57">
        <v>245413</v>
      </c>
      <c r="I41" s="57">
        <v>245595</v>
      </c>
      <c r="J41" s="56">
        <f t="shared" ca="1" si="0"/>
        <v>819</v>
      </c>
      <c r="K41" s="56">
        <f t="shared" ca="1" si="1"/>
        <v>1001</v>
      </c>
    </row>
    <row r="42" spans="1:11" ht="21.75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  <c r="H42" s="57">
        <v>245413</v>
      </c>
      <c r="I42" s="57">
        <v>245595</v>
      </c>
      <c r="J42" s="56">
        <f t="shared" ca="1" si="0"/>
        <v>819</v>
      </c>
      <c r="K42" s="56">
        <f t="shared" ca="1" si="1"/>
        <v>1001</v>
      </c>
    </row>
    <row r="43" spans="1:11" ht="21.75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  <c r="H43" s="57">
        <v>245048</v>
      </c>
      <c r="I43" s="57" t="s">
        <v>786</v>
      </c>
      <c r="J43" s="56">
        <f t="shared" ca="1" si="0"/>
        <v>454</v>
      </c>
      <c r="K43" s="56">
        <f t="shared" si="1"/>
        <v>999</v>
      </c>
    </row>
    <row r="44" spans="1:11" ht="21.75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  <c r="H44" s="57">
        <v>245048</v>
      </c>
      <c r="I44" s="57" t="s">
        <v>786</v>
      </c>
      <c r="J44" s="56">
        <f t="shared" ca="1" si="0"/>
        <v>454</v>
      </c>
      <c r="K44" s="56">
        <f t="shared" si="1"/>
        <v>999</v>
      </c>
    </row>
    <row r="45" spans="1:11" ht="21.75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  <c r="H45" s="57">
        <v>245413</v>
      </c>
      <c r="I45" s="57">
        <v>245595</v>
      </c>
      <c r="J45" s="56">
        <f t="shared" ca="1" si="0"/>
        <v>819</v>
      </c>
      <c r="K45" s="56">
        <f t="shared" ca="1" si="1"/>
        <v>1001</v>
      </c>
    </row>
    <row r="46" spans="1:11" ht="21.75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  <c r="H46" s="57">
        <v>245413</v>
      </c>
      <c r="I46" s="57" t="s">
        <v>786</v>
      </c>
      <c r="J46" s="56">
        <f t="shared" ca="1" si="0"/>
        <v>819</v>
      </c>
      <c r="K46" s="56">
        <f t="shared" si="1"/>
        <v>999</v>
      </c>
    </row>
    <row r="47" spans="1:11" ht="21.75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  <c r="H47" s="57">
        <v>244683</v>
      </c>
      <c r="I47" s="57">
        <v>245107</v>
      </c>
      <c r="J47" s="56">
        <f t="shared" ca="1" si="0"/>
        <v>89</v>
      </c>
      <c r="K47" s="56">
        <f t="shared" ca="1" si="1"/>
        <v>513</v>
      </c>
    </row>
    <row r="48" spans="1:11" ht="21.75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  <c r="H48" s="57">
        <v>244683</v>
      </c>
      <c r="I48" s="57">
        <v>245107</v>
      </c>
      <c r="J48" s="56">
        <f t="shared" ca="1" si="0"/>
        <v>89</v>
      </c>
      <c r="K48" s="56">
        <f t="shared" ca="1" si="1"/>
        <v>513</v>
      </c>
    </row>
    <row r="49" spans="1:11" ht="21.75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  <c r="H49" s="57">
        <v>245048</v>
      </c>
      <c r="I49" s="57" t="s">
        <v>787</v>
      </c>
      <c r="J49" s="56">
        <f t="shared" ca="1" si="0"/>
        <v>454</v>
      </c>
      <c r="K49" s="56">
        <f t="shared" si="1"/>
        <v>999</v>
      </c>
    </row>
    <row r="50" spans="1:11" ht="20.25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  <c r="H50" s="57"/>
      <c r="I50" s="57" t="e">
        <v>#N/A</v>
      </c>
      <c r="J50" s="56">
        <f t="shared" ca="1" si="0"/>
        <v>-244594</v>
      </c>
      <c r="K50" s="56" t="e">
        <f t="shared" si="1"/>
        <v>#N/A</v>
      </c>
    </row>
    <row r="51" spans="1:11" ht="20.25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  <c r="H51" s="57">
        <v>245413</v>
      </c>
      <c r="I51" s="57">
        <v>245595</v>
      </c>
      <c r="J51" s="56">
        <f t="shared" ca="1" si="0"/>
        <v>819</v>
      </c>
      <c r="K51" s="56">
        <f t="shared" ca="1" si="1"/>
        <v>1001</v>
      </c>
    </row>
    <row r="52" spans="1:11" ht="21.75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  <c r="H52" s="57">
        <v>244683</v>
      </c>
      <c r="I52" s="57">
        <v>244865</v>
      </c>
      <c r="J52" s="56">
        <f t="shared" ca="1" si="0"/>
        <v>89</v>
      </c>
      <c r="K52" s="56">
        <f t="shared" ca="1" si="1"/>
        <v>271</v>
      </c>
    </row>
    <row r="53" spans="1:11" ht="21.75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  <c r="H53" s="57">
        <v>244683</v>
      </c>
      <c r="I53" s="57">
        <v>244865</v>
      </c>
      <c r="J53" s="56">
        <f t="shared" ca="1" si="0"/>
        <v>89</v>
      </c>
      <c r="K53" s="56">
        <f t="shared" ca="1" si="1"/>
        <v>271</v>
      </c>
    </row>
    <row r="54" spans="1:11" ht="20.25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  <c r="H54" s="57">
        <v>244683</v>
      </c>
      <c r="I54" s="57">
        <v>244865</v>
      </c>
      <c r="J54" s="56">
        <f t="shared" ca="1" si="0"/>
        <v>89</v>
      </c>
      <c r="K54" s="56">
        <f t="shared" ca="1" si="1"/>
        <v>271</v>
      </c>
    </row>
    <row r="55" spans="1:11" ht="21.75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  <c r="H55" s="57">
        <v>244864</v>
      </c>
      <c r="I55" s="57">
        <v>244622</v>
      </c>
      <c r="J55" s="56">
        <f t="shared" ca="1" si="0"/>
        <v>270</v>
      </c>
      <c r="K55" s="56">
        <f t="shared" ca="1" si="1"/>
        <v>28</v>
      </c>
    </row>
    <row r="56" spans="1:11" ht="21.75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  <c r="H56" s="57">
        <v>245413</v>
      </c>
      <c r="I56" s="57">
        <v>245533</v>
      </c>
      <c r="J56" s="56">
        <f t="shared" ca="1" si="0"/>
        <v>819</v>
      </c>
      <c r="K56" s="56">
        <f t="shared" ca="1" si="1"/>
        <v>939</v>
      </c>
    </row>
    <row r="57" spans="1:11" ht="21.75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  <c r="H57" s="57">
        <v>245048</v>
      </c>
      <c r="I57" s="57">
        <v>245791</v>
      </c>
      <c r="J57" s="56">
        <f t="shared" ca="1" si="0"/>
        <v>454</v>
      </c>
      <c r="K57" s="56">
        <f t="shared" ca="1" si="1"/>
        <v>1197</v>
      </c>
    </row>
    <row r="58" spans="1:11" ht="21.75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  <c r="H58" s="57">
        <v>245779</v>
      </c>
      <c r="I58" s="57" t="s">
        <v>787</v>
      </c>
      <c r="J58" s="56">
        <f t="shared" ca="1" si="0"/>
        <v>1185</v>
      </c>
      <c r="K58" s="56">
        <f t="shared" si="1"/>
        <v>999</v>
      </c>
    </row>
    <row r="59" spans="1:11" ht="21.75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  <c r="H59" s="57">
        <v>245413</v>
      </c>
      <c r="I59" s="57">
        <v>244654</v>
      </c>
      <c r="J59" s="56">
        <f t="shared" ca="1" si="0"/>
        <v>819</v>
      </c>
      <c r="K59" s="56">
        <f t="shared" ca="1" si="1"/>
        <v>60</v>
      </c>
    </row>
    <row r="60" spans="1:11" ht="20.25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  <c r="H60" s="57">
        <v>244683</v>
      </c>
      <c r="I60" s="57">
        <v>244908</v>
      </c>
      <c r="J60" s="56">
        <f t="shared" ca="1" si="0"/>
        <v>89</v>
      </c>
      <c r="K60" s="56">
        <f t="shared" ca="1" si="1"/>
        <v>314</v>
      </c>
    </row>
    <row r="61" spans="1:11" ht="21.75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  <c r="H61" s="57">
        <v>244683</v>
      </c>
      <c r="I61" s="57">
        <v>245483</v>
      </c>
      <c r="J61" s="56">
        <f t="shared" ca="1" si="0"/>
        <v>89</v>
      </c>
      <c r="K61" s="56">
        <f t="shared" ca="1" si="1"/>
        <v>889</v>
      </c>
    </row>
    <row r="62" spans="1:11" ht="21.75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  <c r="H62" s="57">
        <v>244683</v>
      </c>
      <c r="I62" s="57">
        <v>244906</v>
      </c>
      <c r="J62" s="56">
        <f t="shared" ca="1" si="0"/>
        <v>89</v>
      </c>
      <c r="K62" s="56">
        <f t="shared" ca="1" si="1"/>
        <v>312</v>
      </c>
    </row>
    <row r="63" spans="1:11" ht="20.25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  <c r="H63" s="57">
        <v>245048</v>
      </c>
      <c r="I63" s="57">
        <v>244779</v>
      </c>
      <c r="J63" s="56">
        <f t="shared" ca="1" si="0"/>
        <v>454</v>
      </c>
      <c r="K63" s="56">
        <f t="shared" ca="1" si="1"/>
        <v>185</v>
      </c>
    </row>
    <row r="64" spans="1:11" ht="20.25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  <c r="H64" s="57">
        <v>245413</v>
      </c>
      <c r="I64" s="57">
        <v>245644</v>
      </c>
      <c r="J64" s="56">
        <f t="shared" ca="1" si="0"/>
        <v>819</v>
      </c>
      <c r="K64" s="56">
        <f t="shared" ca="1" si="1"/>
        <v>1050</v>
      </c>
    </row>
    <row r="65" spans="1:11" ht="20.25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  <c r="H65" s="57">
        <v>245413</v>
      </c>
      <c r="I65" s="57">
        <v>245157</v>
      </c>
      <c r="J65" s="56">
        <f t="shared" ca="1" si="0"/>
        <v>819</v>
      </c>
      <c r="K65" s="56">
        <f t="shared" ca="1" si="1"/>
        <v>563</v>
      </c>
    </row>
    <row r="66" spans="1:11" ht="20.25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  <c r="H66" s="57">
        <v>244683</v>
      </c>
      <c r="I66" s="57" t="s">
        <v>787</v>
      </c>
      <c r="J66" s="56">
        <f t="shared" ca="1" si="0"/>
        <v>89</v>
      </c>
      <c r="K66" s="56">
        <f t="shared" si="1"/>
        <v>999</v>
      </c>
    </row>
    <row r="67" spans="1:11" ht="20.25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  <c r="H67" s="57">
        <v>245413</v>
      </c>
      <c r="I67" s="57" t="s">
        <v>788</v>
      </c>
      <c r="J67" s="56">
        <f t="shared" ref="J67:J130" ca="1" si="2">IFERROR((H67-$K$1),0)</f>
        <v>819</v>
      </c>
      <c r="K67" s="56">
        <f t="shared" ref="K67:K130" si="3">IF(I67="ยังไม่ได้ทำ BG",-9999,IF(OR(I67="ค้ำเงินสด",I67="ค้ำประกันรายได้",I67="วงเงินรวม SCG"),999,IFERROR((I67-$K$1),0)))</f>
        <v>999</v>
      </c>
    </row>
    <row r="68" spans="1:11" ht="21.75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  <c r="H68" s="57">
        <v>244622</v>
      </c>
      <c r="I68" s="57">
        <v>244622</v>
      </c>
      <c r="J68" s="56">
        <f t="shared" ca="1" si="2"/>
        <v>28</v>
      </c>
      <c r="K68" s="56">
        <f t="shared" ca="1" si="3"/>
        <v>28</v>
      </c>
    </row>
    <row r="69" spans="1:11" ht="21.75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  <c r="H69" s="57">
        <v>244987</v>
      </c>
      <c r="I69" s="57">
        <v>244622</v>
      </c>
      <c r="J69" s="56">
        <f t="shared" ca="1" si="2"/>
        <v>393</v>
      </c>
      <c r="K69" s="56">
        <f t="shared" ca="1" si="3"/>
        <v>28</v>
      </c>
    </row>
    <row r="70" spans="1:11" ht="21.75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  <c r="H70" s="57">
        <v>244622</v>
      </c>
      <c r="I70" s="57">
        <v>244804</v>
      </c>
      <c r="J70" s="56">
        <f t="shared" ca="1" si="2"/>
        <v>28</v>
      </c>
      <c r="K70" s="56">
        <f t="shared" ca="1" si="3"/>
        <v>210</v>
      </c>
    </row>
    <row r="71" spans="1:11" ht="21.75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  <c r="H71" s="57">
        <v>244987</v>
      </c>
      <c r="I71" s="57">
        <v>244988</v>
      </c>
      <c r="J71" s="56">
        <f t="shared" ca="1" si="2"/>
        <v>393</v>
      </c>
      <c r="K71" s="56">
        <f t="shared" ca="1" si="3"/>
        <v>394</v>
      </c>
    </row>
    <row r="72" spans="1:11" ht="21.75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  <c r="H72" s="57">
        <v>244257</v>
      </c>
      <c r="I72" s="57">
        <v>244988</v>
      </c>
      <c r="J72" s="56">
        <f t="shared" ca="1" si="2"/>
        <v>-337</v>
      </c>
      <c r="K72" s="56">
        <f t="shared" ca="1" si="3"/>
        <v>394</v>
      </c>
    </row>
    <row r="73" spans="1:11" ht="21.75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  <c r="H73" s="57">
        <v>244257</v>
      </c>
      <c r="I73" s="57">
        <v>245535</v>
      </c>
      <c r="J73" s="56">
        <f t="shared" ca="1" si="2"/>
        <v>-337</v>
      </c>
      <c r="K73" s="56">
        <f t="shared" ca="1" si="3"/>
        <v>941</v>
      </c>
    </row>
    <row r="74" spans="1:11" ht="20.25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  <c r="H74" s="57">
        <v>244622</v>
      </c>
      <c r="I74" s="57">
        <v>244804</v>
      </c>
      <c r="J74" s="56">
        <f t="shared" ca="1" si="2"/>
        <v>28</v>
      </c>
      <c r="K74" s="56">
        <f t="shared" ca="1" si="3"/>
        <v>210</v>
      </c>
    </row>
    <row r="75" spans="1:11" ht="20.25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  <c r="H75" s="57">
        <v>244622</v>
      </c>
      <c r="I75" s="57">
        <v>244804</v>
      </c>
      <c r="J75" s="56">
        <f t="shared" ca="1" si="2"/>
        <v>28</v>
      </c>
      <c r="K75" s="56">
        <f t="shared" ca="1" si="3"/>
        <v>210</v>
      </c>
    </row>
    <row r="76" spans="1:11" ht="21.75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  <c r="H76" s="57">
        <v>244987</v>
      </c>
      <c r="I76" s="57">
        <v>244804</v>
      </c>
      <c r="J76" s="56">
        <f t="shared" ca="1" si="2"/>
        <v>393</v>
      </c>
      <c r="K76" s="56">
        <f t="shared" ca="1" si="3"/>
        <v>210</v>
      </c>
    </row>
    <row r="77" spans="1:11" ht="21.75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  <c r="H77" s="57">
        <v>244987</v>
      </c>
      <c r="I77" s="57" t="s">
        <v>787</v>
      </c>
      <c r="J77" s="56">
        <f t="shared" ca="1" si="2"/>
        <v>393</v>
      </c>
      <c r="K77" s="56">
        <f t="shared" si="3"/>
        <v>999</v>
      </c>
    </row>
    <row r="78" spans="1:11" ht="20.25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  <c r="H78" s="57">
        <v>245352</v>
      </c>
      <c r="I78" s="57" t="s">
        <v>787</v>
      </c>
      <c r="J78" s="56">
        <f t="shared" ca="1" si="2"/>
        <v>758</v>
      </c>
      <c r="K78" s="56">
        <f t="shared" si="3"/>
        <v>999</v>
      </c>
    </row>
    <row r="79" spans="1:11" ht="20.25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  <c r="H79" s="57">
        <v>242430</v>
      </c>
      <c r="I79" s="57" t="s">
        <v>787</v>
      </c>
      <c r="J79" s="56">
        <f t="shared" ca="1" si="2"/>
        <v>-2164</v>
      </c>
      <c r="K79" s="56">
        <f t="shared" si="3"/>
        <v>999</v>
      </c>
    </row>
    <row r="80" spans="1:11" ht="20.25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  <c r="H80" s="57">
        <v>242430</v>
      </c>
      <c r="I80" s="57" t="s">
        <v>787</v>
      </c>
      <c r="J80" s="56">
        <f t="shared" ca="1" si="2"/>
        <v>-2164</v>
      </c>
      <c r="K80" s="56">
        <f t="shared" si="3"/>
        <v>999</v>
      </c>
    </row>
    <row r="81" spans="1:11" ht="21.75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  <c r="H81" s="57">
        <v>245352</v>
      </c>
      <c r="I81" s="57" t="s">
        <v>787</v>
      </c>
      <c r="J81" s="56">
        <f t="shared" ca="1" si="2"/>
        <v>758</v>
      </c>
      <c r="K81" s="56">
        <f t="shared" si="3"/>
        <v>999</v>
      </c>
    </row>
    <row r="82" spans="1:11" ht="21.75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  <c r="H82" s="57">
        <v>244987</v>
      </c>
      <c r="I82" s="57">
        <v>244714</v>
      </c>
      <c r="J82" s="56">
        <f t="shared" ca="1" si="2"/>
        <v>393</v>
      </c>
      <c r="K82" s="56">
        <f t="shared" ca="1" si="3"/>
        <v>120</v>
      </c>
    </row>
    <row r="83" spans="1:11" ht="21.75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  <c r="H83" s="57">
        <v>245352</v>
      </c>
      <c r="I83" s="57">
        <v>245535</v>
      </c>
      <c r="J83" s="56">
        <f t="shared" ca="1" si="2"/>
        <v>758</v>
      </c>
      <c r="K83" s="56">
        <f t="shared" ca="1" si="3"/>
        <v>941</v>
      </c>
    </row>
    <row r="84" spans="1:11" ht="21.75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  <c r="H84" s="57">
        <v>245352</v>
      </c>
      <c r="I84" s="57">
        <v>245352</v>
      </c>
      <c r="J84" s="56">
        <f t="shared" ca="1" si="2"/>
        <v>758</v>
      </c>
      <c r="K84" s="56">
        <f t="shared" ca="1" si="3"/>
        <v>758</v>
      </c>
    </row>
    <row r="85" spans="1:11" ht="21.75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  <c r="H85" s="57">
        <v>244622</v>
      </c>
      <c r="I85" s="57">
        <v>245648</v>
      </c>
      <c r="J85" s="56">
        <f t="shared" ca="1" si="2"/>
        <v>28</v>
      </c>
      <c r="K85" s="56">
        <f t="shared" ca="1" si="3"/>
        <v>1054</v>
      </c>
    </row>
    <row r="86" spans="1:11" ht="21.75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  <c r="H86" s="57">
        <v>244622</v>
      </c>
      <c r="I86" s="57" t="s">
        <v>786</v>
      </c>
      <c r="J86" s="56">
        <f t="shared" ca="1" si="2"/>
        <v>28</v>
      </c>
      <c r="K86" s="56">
        <f t="shared" si="3"/>
        <v>999</v>
      </c>
    </row>
    <row r="87" spans="1:11" ht="20.25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  <c r="H87" s="57">
        <v>245352</v>
      </c>
      <c r="I87" s="57">
        <v>245352</v>
      </c>
      <c r="J87" s="56">
        <f t="shared" ca="1" si="2"/>
        <v>758</v>
      </c>
      <c r="K87" s="56">
        <f t="shared" ca="1" si="3"/>
        <v>758</v>
      </c>
    </row>
    <row r="88" spans="1:11" ht="21.75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  <c r="H88" s="57">
        <v>245352</v>
      </c>
      <c r="I88" s="57">
        <v>245352</v>
      </c>
      <c r="J88" s="56">
        <f t="shared" ca="1" si="2"/>
        <v>758</v>
      </c>
      <c r="K88" s="56">
        <f t="shared" ca="1" si="3"/>
        <v>758</v>
      </c>
    </row>
    <row r="89" spans="1:11" ht="20.25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  <c r="H89" s="57">
        <v>244622</v>
      </c>
      <c r="I89" s="57">
        <v>245317</v>
      </c>
      <c r="J89" s="56">
        <f t="shared" ca="1" si="2"/>
        <v>28</v>
      </c>
      <c r="K89" s="56">
        <f t="shared" ca="1" si="3"/>
        <v>723</v>
      </c>
    </row>
    <row r="90" spans="1:11" ht="21.75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  <c r="H90" s="57">
        <v>244987</v>
      </c>
      <c r="I90" s="57">
        <v>245317</v>
      </c>
      <c r="J90" s="56">
        <f t="shared" ca="1" si="2"/>
        <v>393</v>
      </c>
      <c r="K90" s="56">
        <f t="shared" ca="1" si="3"/>
        <v>723</v>
      </c>
    </row>
    <row r="91" spans="1:11" ht="20.25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  <c r="H91" s="57">
        <v>244987</v>
      </c>
      <c r="I91" s="57">
        <v>244987</v>
      </c>
      <c r="J91" s="56">
        <f t="shared" ca="1" si="2"/>
        <v>393</v>
      </c>
      <c r="K91" s="56">
        <f t="shared" ca="1" si="3"/>
        <v>393</v>
      </c>
    </row>
    <row r="92" spans="1:11" ht="20.25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  <c r="H92" s="57">
        <v>244622</v>
      </c>
      <c r="I92" s="57">
        <v>245352</v>
      </c>
      <c r="J92" s="56">
        <f t="shared" ca="1" si="2"/>
        <v>28</v>
      </c>
      <c r="K92" s="56">
        <f t="shared" ca="1" si="3"/>
        <v>758</v>
      </c>
    </row>
    <row r="93" spans="1:11" ht="20.25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  <c r="H93" s="57">
        <v>244622</v>
      </c>
      <c r="I93" s="57">
        <v>244987</v>
      </c>
      <c r="J93" s="56">
        <f t="shared" ca="1" si="2"/>
        <v>28</v>
      </c>
      <c r="K93" s="56">
        <f t="shared" ca="1" si="3"/>
        <v>393</v>
      </c>
    </row>
    <row r="94" spans="1:11" ht="20.25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  <c r="H94" s="57"/>
      <c r="I94" s="57">
        <v>245718</v>
      </c>
      <c r="J94" s="56">
        <f t="shared" ca="1" si="2"/>
        <v>-244594</v>
      </c>
      <c r="K94" s="56">
        <f t="shared" ca="1" si="3"/>
        <v>1124</v>
      </c>
    </row>
    <row r="95" spans="1:11" ht="21.75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  <c r="H95" s="57">
        <v>244987</v>
      </c>
      <c r="I95" s="57">
        <v>244987</v>
      </c>
      <c r="J95" s="56">
        <f t="shared" ca="1" si="2"/>
        <v>393</v>
      </c>
      <c r="K95" s="56">
        <f t="shared" ca="1" si="3"/>
        <v>393</v>
      </c>
    </row>
    <row r="96" spans="1:11" ht="21.75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  <c r="H96" s="57">
        <v>244622</v>
      </c>
      <c r="I96" s="57">
        <v>244987</v>
      </c>
      <c r="J96" s="56">
        <f t="shared" ca="1" si="2"/>
        <v>28</v>
      </c>
      <c r="K96" s="56">
        <f t="shared" ca="1" si="3"/>
        <v>393</v>
      </c>
    </row>
    <row r="97" spans="1:11" ht="20.25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  <c r="H97" s="57">
        <v>244622</v>
      </c>
      <c r="I97" s="57">
        <v>245352</v>
      </c>
      <c r="J97" s="56">
        <f t="shared" ca="1" si="2"/>
        <v>28</v>
      </c>
      <c r="K97" s="56">
        <f t="shared" ca="1" si="3"/>
        <v>758</v>
      </c>
    </row>
    <row r="98" spans="1:11" ht="20.25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  <c r="H98" s="57">
        <v>245352</v>
      </c>
      <c r="I98" s="57">
        <v>245535</v>
      </c>
      <c r="J98" s="56">
        <f t="shared" ca="1" si="2"/>
        <v>758</v>
      </c>
      <c r="K98" s="56">
        <f t="shared" ca="1" si="3"/>
        <v>941</v>
      </c>
    </row>
    <row r="99" spans="1:11" ht="20.25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  <c r="H99" s="57">
        <v>244987</v>
      </c>
      <c r="I99" s="57">
        <v>245352</v>
      </c>
      <c r="J99" s="56">
        <f t="shared" ca="1" si="2"/>
        <v>393</v>
      </c>
      <c r="K99" s="56">
        <f t="shared" ca="1" si="3"/>
        <v>758</v>
      </c>
    </row>
    <row r="100" spans="1:11" ht="20.25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  <c r="H100" s="57">
        <v>245352</v>
      </c>
      <c r="I100" s="57">
        <v>245138</v>
      </c>
      <c r="J100" s="56">
        <f t="shared" ca="1" si="2"/>
        <v>758</v>
      </c>
      <c r="K100" s="56">
        <f t="shared" ca="1" si="3"/>
        <v>544</v>
      </c>
    </row>
    <row r="101" spans="1:11" ht="20.25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  <c r="H101" s="57">
        <v>245352</v>
      </c>
      <c r="I101" s="57">
        <v>245352</v>
      </c>
      <c r="J101" s="56">
        <f t="shared" ca="1" si="2"/>
        <v>758</v>
      </c>
      <c r="K101" s="56">
        <f t="shared" ca="1" si="3"/>
        <v>758</v>
      </c>
    </row>
    <row r="102" spans="1:11" ht="20.25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  <c r="H102" s="57">
        <v>244622</v>
      </c>
      <c r="I102" s="57">
        <v>245352</v>
      </c>
      <c r="J102" s="56">
        <f t="shared" ca="1" si="2"/>
        <v>28</v>
      </c>
      <c r="K102" s="56">
        <f t="shared" ca="1" si="3"/>
        <v>758</v>
      </c>
    </row>
    <row r="103" spans="1:11" ht="20.25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  <c r="H103" s="57">
        <v>244987</v>
      </c>
      <c r="I103" s="57">
        <v>244730</v>
      </c>
      <c r="J103" s="56">
        <f t="shared" ca="1" si="2"/>
        <v>393</v>
      </c>
      <c r="K103" s="56">
        <f t="shared" ca="1" si="3"/>
        <v>136</v>
      </c>
    </row>
    <row r="104" spans="1:11" ht="21.75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  <c r="H104" s="57">
        <v>244622</v>
      </c>
      <c r="I104" s="57">
        <v>244730</v>
      </c>
      <c r="J104" s="56">
        <f t="shared" ca="1" si="2"/>
        <v>28</v>
      </c>
      <c r="K104" s="56">
        <f t="shared" ca="1" si="3"/>
        <v>136</v>
      </c>
    </row>
    <row r="105" spans="1:11" ht="21.75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  <c r="H105" s="57">
        <v>241465</v>
      </c>
      <c r="I105" s="57" t="s">
        <v>786</v>
      </c>
      <c r="J105" s="56">
        <f t="shared" ca="1" si="2"/>
        <v>-3129</v>
      </c>
      <c r="K105" s="56">
        <f t="shared" si="3"/>
        <v>999</v>
      </c>
    </row>
    <row r="106" spans="1:11" ht="20.25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  <c r="H106" s="57">
        <v>244987</v>
      </c>
      <c r="I106" s="57">
        <v>244865</v>
      </c>
      <c r="J106" s="56">
        <f t="shared" ca="1" si="2"/>
        <v>393</v>
      </c>
      <c r="K106" s="56">
        <f t="shared" ca="1" si="3"/>
        <v>271</v>
      </c>
    </row>
    <row r="107" spans="1:11" ht="21.75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  <c r="H107" s="57">
        <v>244987</v>
      </c>
      <c r="I107" s="57">
        <v>244865</v>
      </c>
      <c r="J107" s="56">
        <f t="shared" ca="1" si="2"/>
        <v>393</v>
      </c>
      <c r="K107" s="56">
        <f t="shared" ca="1" si="3"/>
        <v>271</v>
      </c>
    </row>
    <row r="108" spans="1:11" ht="21.75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  <c r="H108" s="57">
        <v>244622</v>
      </c>
      <c r="I108" s="57" t="s">
        <v>788</v>
      </c>
      <c r="J108" s="56">
        <f t="shared" ca="1" si="2"/>
        <v>28</v>
      </c>
      <c r="K108" s="56">
        <f t="shared" si="3"/>
        <v>999</v>
      </c>
    </row>
    <row r="109" spans="1:11" ht="21.75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  <c r="H109" s="57">
        <v>245169</v>
      </c>
      <c r="I109" s="57">
        <v>244804</v>
      </c>
      <c r="J109" s="56">
        <f t="shared" ca="1" si="2"/>
        <v>575</v>
      </c>
      <c r="K109" s="56">
        <f t="shared" ca="1" si="3"/>
        <v>210</v>
      </c>
    </row>
    <row r="110" spans="1:11" ht="21.75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  <c r="H110" s="57">
        <v>245535</v>
      </c>
      <c r="I110" s="57">
        <v>244804</v>
      </c>
      <c r="J110" s="56">
        <f t="shared" ca="1" si="2"/>
        <v>941</v>
      </c>
      <c r="K110" s="56">
        <f t="shared" ca="1" si="3"/>
        <v>210</v>
      </c>
    </row>
    <row r="111" spans="1:11" ht="21.75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  <c r="H111" s="57">
        <v>245535</v>
      </c>
      <c r="I111" s="57" t="s">
        <v>786</v>
      </c>
      <c r="J111" s="56">
        <f t="shared" ca="1" si="2"/>
        <v>941</v>
      </c>
      <c r="K111" s="56">
        <f t="shared" si="3"/>
        <v>999</v>
      </c>
    </row>
    <row r="112" spans="1:11" ht="21.75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  <c r="H112" s="57">
        <v>245535</v>
      </c>
      <c r="I112" s="57">
        <v>244804</v>
      </c>
      <c r="J112" s="56">
        <f t="shared" ca="1" si="2"/>
        <v>941</v>
      </c>
      <c r="K112" s="56">
        <f t="shared" ca="1" si="3"/>
        <v>210</v>
      </c>
    </row>
    <row r="113" spans="1:11" ht="21.75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  <c r="H113" s="57">
        <v>245169</v>
      </c>
      <c r="I113" s="57">
        <v>244804</v>
      </c>
      <c r="J113" s="56">
        <f t="shared" ca="1" si="2"/>
        <v>575</v>
      </c>
      <c r="K113" s="56">
        <f t="shared" ca="1" si="3"/>
        <v>210</v>
      </c>
    </row>
    <row r="114" spans="1:11" ht="21.75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  <c r="H114" s="57">
        <v>245169</v>
      </c>
      <c r="I114" s="57">
        <v>245169</v>
      </c>
      <c r="J114" s="56">
        <f t="shared" ca="1" si="2"/>
        <v>575</v>
      </c>
      <c r="K114" s="56">
        <f t="shared" ca="1" si="3"/>
        <v>575</v>
      </c>
    </row>
    <row r="115" spans="1:11" ht="21.75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  <c r="H115" s="57">
        <v>245535</v>
      </c>
      <c r="I115" s="57">
        <v>246003</v>
      </c>
      <c r="J115" s="56">
        <f t="shared" ca="1" si="2"/>
        <v>941</v>
      </c>
      <c r="K115" s="56">
        <f t="shared" ca="1" si="3"/>
        <v>1409</v>
      </c>
    </row>
    <row r="116" spans="1:11" ht="20.25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  <c r="H116" s="57">
        <v>245169</v>
      </c>
      <c r="I116" s="57">
        <v>245366</v>
      </c>
      <c r="J116" s="56">
        <f t="shared" ca="1" si="2"/>
        <v>575</v>
      </c>
      <c r="K116" s="56">
        <f t="shared" ca="1" si="3"/>
        <v>772</v>
      </c>
    </row>
    <row r="117" spans="1:11" ht="21.75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244622</v>
      </c>
      <c r="G117" s="33" t="s">
        <v>3</v>
      </c>
      <c r="H117" s="57">
        <v>244804</v>
      </c>
      <c r="I117" s="57" t="s">
        <v>788</v>
      </c>
      <c r="J117" s="56">
        <f t="shared" ca="1" si="2"/>
        <v>210</v>
      </c>
      <c r="K117" s="56">
        <f t="shared" si="3"/>
        <v>999</v>
      </c>
    </row>
    <row r="118" spans="1:11" ht="21.75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  <c r="H118" s="57">
        <v>244804</v>
      </c>
      <c r="I118" s="57">
        <v>244804</v>
      </c>
      <c r="J118" s="56">
        <f t="shared" ca="1" si="2"/>
        <v>210</v>
      </c>
      <c r="K118" s="56">
        <f t="shared" ca="1" si="3"/>
        <v>210</v>
      </c>
    </row>
    <row r="119" spans="1:11" ht="21.75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  <c r="H119" s="57">
        <v>244804</v>
      </c>
      <c r="I119" s="57">
        <v>244804</v>
      </c>
      <c r="J119" s="56">
        <f t="shared" ca="1" si="2"/>
        <v>210</v>
      </c>
      <c r="K119" s="56">
        <f t="shared" ca="1" si="3"/>
        <v>210</v>
      </c>
    </row>
    <row r="120" spans="1:11" ht="21.75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  <c r="H120" s="57">
        <v>244804</v>
      </c>
      <c r="I120" s="57">
        <v>244804</v>
      </c>
      <c r="J120" s="56">
        <f t="shared" ca="1" si="2"/>
        <v>210</v>
      </c>
      <c r="K120" s="56">
        <f t="shared" ca="1" si="3"/>
        <v>210</v>
      </c>
    </row>
    <row r="121" spans="1:11" ht="21.75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  <c r="H121" s="57">
        <v>244804</v>
      </c>
      <c r="I121" s="57">
        <v>244804</v>
      </c>
      <c r="J121" s="56">
        <f t="shared" ca="1" si="2"/>
        <v>210</v>
      </c>
      <c r="K121" s="56">
        <f t="shared" ca="1" si="3"/>
        <v>210</v>
      </c>
    </row>
    <row r="122" spans="1:11" ht="20.25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  <c r="H122" s="57">
        <v>245169</v>
      </c>
      <c r="I122" s="57" t="s">
        <v>788</v>
      </c>
      <c r="J122" s="56">
        <f t="shared" ca="1" si="2"/>
        <v>575</v>
      </c>
      <c r="K122" s="56">
        <f t="shared" si="3"/>
        <v>999</v>
      </c>
    </row>
    <row r="123" spans="1:11" ht="21.75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  <c r="H123" s="57">
        <v>245169</v>
      </c>
      <c r="I123" s="57" t="s">
        <v>786</v>
      </c>
      <c r="J123" s="56">
        <f t="shared" ca="1" si="2"/>
        <v>575</v>
      </c>
      <c r="K123" s="56">
        <f t="shared" si="3"/>
        <v>999</v>
      </c>
    </row>
    <row r="124" spans="1:11" ht="21.75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  <c r="H124" s="57">
        <v>245535</v>
      </c>
      <c r="I124" s="57">
        <v>244804</v>
      </c>
      <c r="J124" s="56">
        <f t="shared" ca="1" si="2"/>
        <v>941</v>
      </c>
      <c r="K124" s="56">
        <f t="shared" ca="1" si="3"/>
        <v>210</v>
      </c>
    </row>
    <row r="125" spans="1:11" ht="21.75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  <c r="H125" s="57">
        <v>245169</v>
      </c>
      <c r="I125" s="57" t="s">
        <v>788</v>
      </c>
      <c r="J125" s="56">
        <f t="shared" ca="1" si="2"/>
        <v>575</v>
      </c>
      <c r="K125" s="56">
        <f t="shared" si="3"/>
        <v>999</v>
      </c>
    </row>
    <row r="126" spans="1:11" ht="21.75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  <c r="H126" s="57">
        <v>245535</v>
      </c>
      <c r="I126" s="57" t="s">
        <v>788</v>
      </c>
      <c r="J126" s="56">
        <f t="shared" ca="1" si="2"/>
        <v>941</v>
      </c>
      <c r="K126" s="56">
        <f t="shared" si="3"/>
        <v>999</v>
      </c>
    </row>
    <row r="127" spans="1:11" ht="20.25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  <c r="H127" s="57">
        <v>245169</v>
      </c>
      <c r="I127" s="57" t="s">
        <v>788</v>
      </c>
      <c r="J127" s="56">
        <f t="shared" ca="1" si="2"/>
        <v>575</v>
      </c>
      <c r="K127" s="56">
        <f t="shared" si="3"/>
        <v>999</v>
      </c>
    </row>
    <row r="128" spans="1:11" ht="20.25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  <c r="H128" s="57">
        <v>244804</v>
      </c>
      <c r="I128" s="57" t="s">
        <v>788</v>
      </c>
      <c r="J128" s="56">
        <f t="shared" ca="1" si="2"/>
        <v>210</v>
      </c>
      <c r="K128" s="56">
        <f t="shared" si="3"/>
        <v>999</v>
      </c>
    </row>
    <row r="129" spans="1:11" ht="20.25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  <c r="H129" s="57">
        <v>245169</v>
      </c>
      <c r="I129" s="57">
        <v>245138</v>
      </c>
      <c r="J129" s="56">
        <f t="shared" ca="1" si="2"/>
        <v>575</v>
      </c>
      <c r="K129" s="56">
        <f t="shared" ca="1" si="3"/>
        <v>544</v>
      </c>
    </row>
    <row r="130" spans="1:11" ht="20.25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  <c r="H130" s="57">
        <v>245535</v>
      </c>
      <c r="I130" s="57" t="s">
        <v>788</v>
      </c>
      <c r="J130" s="56">
        <f t="shared" ca="1" si="2"/>
        <v>941</v>
      </c>
      <c r="K130" s="56">
        <f t="shared" si="3"/>
        <v>999</v>
      </c>
    </row>
    <row r="131" spans="1:11" ht="20.25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  <c r="H131" s="57">
        <v>245535</v>
      </c>
      <c r="I131" s="57" t="s">
        <v>788</v>
      </c>
      <c r="J131" s="56">
        <f t="shared" ref="J131:J194" ca="1" si="4">IFERROR((H131-$K$1),0)</f>
        <v>941</v>
      </c>
      <c r="K131" s="56">
        <f t="shared" ref="K131:K194" si="5">IF(I131="ยังไม่ได้ทำ BG",-9999,IF(OR(I131="ค้ำเงินสด",I131="ค้ำประกันรายได้",I131="วงเงินรวม SCG"),999,IFERROR((I131-$K$1),0)))</f>
        <v>999</v>
      </c>
    </row>
    <row r="132" spans="1:11" ht="20.25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  <c r="H132" s="57" t="s">
        <v>789</v>
      </c>
      <c r="I132" s="57" t="s">
        <v>787</v>
      </c>
      <c r="J132" s="56">
        <f t="shared" ca="1" si="4"/>
        <v>0</v>
      </c>
      <c r="K132" s="56">
        <f t="shared" si="5"/>
        <v>999</v>
      </c>
    </row>
    <row r="133" spans="1:11" ht="21.75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  <c r="H133" s="57">
        <v>244804</v>
      </c>
      <c r="I133" s="57" t="s">
        <v>787</v>
      </c>
      <c r="J133" s="56">
        <f t="shared" ca="1" si="4"/>
        <v>210</v>
      </c>
      <c r="K133" s="56">
        <f t="shared" si="5"/>
        <v>999</v>
      </c>
    </row>
    <row r="134" spans="1:11" ht="20.25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  <c r="H134" s="57">
        <v>244804</v>
      </c>
      <c r="I134" s="57" t="s">
        <v>787</v>
      </c>
      <c r="J134" s="56">
        <f t="shared" ca="1" si="4"/>
        <v>210</v>
      </c>
      <c r="K134" s="56">
        <f t="shared" si="5"/>
        <v>999</v>
      </c>
    </row>
    <row r="135" spans="1:11" ht="21.75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  <c r="H135" s="57">
        <v>244804</v>
      </c>
      <c r="I135" s="57" t="s">
        <v>787</v>
      </c>
      <c r="J135" s="56">
        <f t="shared" ca="1" si="4"/>
        <v>210</v>
      </c>
      <c r="K135" s="56">
        <f t="shared" si="5"/>
        <v>999</v>
      </c>
    </row>
    <row r="136" spans="1:11" ht="21.75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  <c r="H136" s="57">
        <v>244804</v>
      </c>
      <c r="I136" s="57" t="s">
        <v>787</v>
      </c>
      <c r="J136" s="56">
        <f t="shared" ca="1" si="4"/>
        <v>210</v>
      </c>
      <c r="K136" s="56">
        <f t="shared" si="5"/>
        <v>999</v>
      </c>
    </row>
    <row r="137" spans="1:11" ht="21.75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  <c r="H137" s="57">
        <v>245169</v>
      </c>
      <c r="I137" s="57">
        <v>245169</v>
      </c>
      <c r="J137" s="56">
        <f t="shared" ca="1" si="4"/>
        <v>575</v>
      </c>
      <c r="K137" s="56">
        <f t="shared" ca="1" si="5"/>
        <v>575</v>
      </c>
    </row>
    <row r="138" spans="1:11" ht="21.75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  <c r="H138" s="57" t="s">
        <v>789</v>
      </c>
      <c r="I138" s="57">
        <v>245169</v>
      </c>
      <c r="J138" s="56">
        <f t="shared" ca="1" si="4"/>
        <v>0</v>
      </c>
      <c r="K138" s="56">
        <f t="shared" ca="1" si="5"/>
        <v>575</v>
      </c>
    </row>
    <row r="139" spans="1:11" ht="20.25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  <c r="H139" s="57">
        <v>245535</v>
      </c>
      <c r="I139" s="57">
        <v>244622</v>
      </c>
      <c r="J139" s="56">
        <f t="shared" ca="1" si="4"/>
        <v>941</v>
      </c>
      <c r="K139" s="56">
        <f t="shared" ca="1" si="5"/>
        <v>28</v>
      </c>
    </row>
    <row r="140" spans="1:11" ht="21.75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  <c r="H140" s="57" t="s">
        <v>789</v>
      </c>
      <c r="I140" s="57">
        <v>245170</v>
      </c>
      <c r="J140" s="56">
        <f t="shared" ca="1" si="4"/>
        <v>0</v>
      </c>
      <c r="K140" s="56">
        <f t="shared" ca="1" si="5"/>
        <v>576</v>
      </c>
    </row>
    <row r="141" spans="1:11" ht="21.75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  <c r="H141" s="57">
        <v>244804</v>
      </c>
      <c r="I141" s="57">
        <v>244804</v>
      </c>
      <c r="J141" s="56">
        <f t="shared" ca="1" si="4"/>
        <v>210</v>
      </c>
      <c r="K141" s="56">
        <f t="shared" ca="1" si="5"/>
        <v>210</v>
      </c>
    </row>
    <row r="142" spans="1:11" ht="21.75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  <c r="H142" s="57">
        <v>245535</v>
      </c>
      <c r="I142" s="57">
        <v>245029</v>
      </c>
      <c r="J142" s="56">
        <f t="shared" ca="1" si="4"/>
        <v>941</v>
      </c>
      <c r="K142" s="56">
        <f t="shared" ca="1" si="5"/>
        <v>435</v>
      </c>
    </row>
    <row r="143" spans="1:11" ht="21.75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  <c r="H143" s="57">
        <v>245535</v>
      </c>
      <c r="I143" s="57" t="s">
        <v>788</v>
      </c>
      <c r="J143" s="56">
        <f t="shared" ca="1" si="4"/>
        <v>941</v>
      </c>
      <c r="K143" s="56">
        <f t="shared" si="5"/>
        <v>999</v>
      </c>
    </row>
    <row r="144" spans="1:11" ht="20.25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  <c r="H144" s="57">
        <v>244804</v>
      </c>
      <c r="I144" s="57">
        <v>244804</v>
      </c>
      <c r="J144" s="56">
        <f t="shared" ca="1" si="4"/>
        <v>210</v>
      </c>
      <c r="K144" s="56">
        <f t="shared" ca="1" si="5"/>
        <v>210</v>
      </c>
    </row>
    <row r="145" spans="1:11" ht="20.25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  <c r="H145" s="57">
        <v>245169</v>
      </c>
      <c r="I145" s="57" t="s">
        <v>788</v>
      </c>
      <c r="J145" s="56">
        <f t="shared" ca="1" si="4"/>
        <v>575</v>
      </c>
      <c r="K145" s="56">
        <f t="shared" si="5"/>
        <v>999</v>
      </c>
    </row>
    <row r="146" spans="1:11" ht="21.75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  <c r="H146" s="57">
        <v>244804</v>
      </c>
      <c r="I146" s="57">
        <v>244895</v>
      </c>
      <c r="J146" s="56">
        <f t="shared" ca="1" si="4"/>
        <v>210</v>
      </c>
      <c r="K146" s="56">
        <f t="shared" ca="1" si="5"/>
        <v>301</v>
      </c>
    </row>
    <row r="147" spans="1:11" ht="21.75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  <c r="H147" s="57">
        <v>245535</v>
      </c>
      <c r="I147" s="57">
        <v>244807</v>
      </c>
      <c r="J147" s="56">
        <f t="shared" ca="1" si="4"/>
        <v>941</v>
      </c>
      <c r="K147" s="56">
        <f t="shared" ca="1" si="5"/>
        <v>213</v>
      </c>
    </row>
    <row r="148" spans="1:11" ht="21.75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  <c r="H148" s="57">
        <v>245535</v>
      </c>
      <c r="I148" s="57">
        <v>244807</v>
      </c>
      <c r="J148" s="56">
        <f t="shared" ca="1" si="4"/>
        <v>941</v>
      </c>
      <c r="K148" s="56">
        <f t="shared" ca="1" si="5"/>
        <v>213</v>
      </c>
    </row>
    <row r="149" spans="1:11" ht="21.75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  <c r="H149" s="57">
        <v>245169</v>
      </c>
      <c r="I149" s="57">
        <v>244807</v>
      </c>
      <c r="J149" s="56">
        <f t="shared" ca="1" si="4"/>
        <v>575</v>
      </c>
      <c r="K149" s="56">
        <f t="shared" ca="1" si="5"/>
        <v>213</v>
      </c>
    </row>
    <row r="150" spans="1:11" ht="20.25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  <c r="H150" s="57">
        <v>245169</v>
      </c>
      <c r="I150" s="57">
        <v>244807</v>
      </c>
      <c r="J150" s="56">
        <f t="shared" ca="1" si="4"/>
        <v>575</v>
      </c>
      <c r="K150" s="56">
        <f t="shared" ca="1" si="5"/>
        <v>213</v>
      </c>
    </row>
    <row r="151" spans="1:11" ht="20.25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  <c r="H151" s="57">
        <v>245169</v>
      </c>
      <c r="I151" s="57">
        <v>244807</v>
      </c>
      <c r="J151" s="56">
        <f t="shared" ca="1" si="4"/>
        <v>575</v>
      </c>
      <c r="K151" s="56">
        <f t="shared" ca="1" si="5"/>
        <v>213</v>
      </c>
    </row>
    <row r="152" spans="1:11" ht="20.25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  <c r="H152" s="57">
        <v>244804</v>
      </c>
      <c r="I152" s="57">
        <v>244916</v>
      </c>
      <c r="J152" s="56">
        <f t="shared" ca="1" si="4"/>
        <v>210</v>
      </c>
      <c r="K152" s="56">
        <f t="shared" ca="1" si="5"/>
        <v>322</v>
      </c>
    </row>
    <row r="153" spans="1:11" ht="21.75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  <c r="H153" s="57">
        <v>245169</v>
      </c>
      <c r="I153" s="57">
        <v>245169</v>
      </c>
      <c r="J153" s="56">
        <f t="shared" ca="1" si="4"/>
        <v>575</v>
      </c>
      <c r="K153" s="56">
        <f t="shared" ca="1" si="5"/>
        <v>575</v>
      </c>
    </row>
    <row r="154" spans="1:11" ht="20.25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  <c r="H154" s="57">
        <v>245169</v>
      </c>
      <c r="I154" s="57">
        <v>245352</v>
      </c>
      <c r="J154" s="56">
        <f t="shared" ca="1" si="4"/>
        <v>575</v>
      </c>
      <c r="K154" s="56">
        <f t="shared" ca="1" si="5"/>
        <v>758</v>
      </c>
    </row>
    <row r="155" spans="1:11" ht="20.25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  <c r="H155" s="57">
        <v>245169</v>
      </c>
      <c r="I155" s="57">
        <v>245169</v>
      </c>
      <c r="J155" s="56">
        <f t="shared" ca="1" si="4"/>
        <v>575</v>
      </c>
      <c r="K155" s="56">
        <f t="shared" ca="1" si="5"/>
        <v>575</v>
      </c>
    </row>
    <row r="156" spans="1:11" ht="20.25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  <c r="H156" s="57">
        <v>245169</v>
      </c>
      <c r="I156" s="57">
        <v>245169</v>
      </c>
      <c r="J156" s="56">
        <f t="shared" ca="1" si="4"/>
        <v>575</v>
      </c>
      <c r="K156" s="56">
        <f t="shared" ca="1" si="5"/>
        <v>575</v>
      </c>
    </row>
    <row r="157" spans="1:11" ht="21.75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  <c r="H157" s="57">
        <v>244804</v>
      </c>
      <c r="I157" s="57">
        <v>244672</v>
      </c>
      <c r="J157" s="56">
        <f t="shared" ca="1" si="4"/>
        <v>210</v>
      </c>
      <c r="K157" s="56">
        <f t="shared" ca="1" si="5"/>
        <v>78</v>
      </c>
    </row>
    <row r="158" spans="1:11" ht="21.75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  <c r="H158" s="57">
        <v>244804</v>
      </c>
      <c r="I158" s="57">
        <v>244672</v>
      </c>
      <c r="J158" s="56">
        <f t="shared" ca="1" si="4"/>
        <v>210</v>
      </c>
      <c r="K158" s="56">
        <f t="shared" ca="1" si="5"/>
        <v>78</v>
      </c>
    </row>
    <row r="159" spans="1:11" ht="20.25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  <c r="H159" s="57">
        <v>245169</v>
      </c>
      <c r="I159" s="57">
        <v>245169</v>
      </c>
      <c r="J159" s="56">
        <f t="shared" ca="1" si="4"/>
        <v>575</v>
      </c>
      <c r="K159" s="56">
        <f t="shared" ca="1" si="5"/>
        <v>575</v>
      </c>
    </row>
    <row r="160" spans="1:11" ht="21.75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  <c r="H160" s="57">
        <v>245169</v>
      </c>
      <c r="I160" s="57">
        <v>245169</v>
      </c>
      <c r="J160" s="56">
        <f t="shared" ca="1" si="4"/>
        <v>575</v>
      </c>
      <c r="K160" s="56">
        <f t="shared" ca="1" si="5"/>
        <v>575</v>
      </c>
    </row>
    <row r="161" spans="1:11" ht="21.75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  <c r="H161" s="57">
        <v>244804</v>
      </c>
      <c r="I161" s="57">
        <v>245169</v>
      </c>
      <c r="J161" s="56">
        <f t="shared" ca="1" si="4"/>
        <v>210</v>
      </c>
      <c r="K161" s="56">
        <f t="shared" ca="1" si="5"/>
        <v>575</v>
      </c>
    </row>
    <row r="162" spans="1:11" ht="20.25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  <c r="H162" s="57">
        <v>244804</v>
      </c>
      <c r="I162" s="57">
        <v>245169</v>
      </c>
      <c r="J162" s="56">
        <f t="shared" ca="1" si="4"/>
        <v>210</v>
      </c>
      <c r="K162" s="56">
        <f t="shared" ca="1" si="5"/>
        <v>575</v>
      </c>
    </row>
    <row r="163" spans="1:11" ht="20.25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  <c r="H163" s="57">
        <v>244804</v>
      </c>
      <c r="I163" s="57">
        <v>245169</v>
      </c>
      <c r="J163" s="56">
        <f t="shared" ca="1" si="4"/>
        <v>210</v>
      </c>
      <c r="K163" s="56">
        <f t="shared" ca="1" si="5"/>
        <v>575</v>
      </c>
    </row>
    <row r="164" spans="1:11" ht="21.75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  <c r="H164" s="57">
        <v>245169</v>
      </c>
      <c r="I164" s="57">
        <v>244646</v>
      </c>
      <c r="J164" s="56">
        <f t="shared" ca="1" si="4"/>
        <v>575</v>
      </c>
      <c r="K164" s="56">
        <f t="shared" ca="1" si="5"/>
        <v>52</v>
      </c>
    </row>
    <row r="165" spans="1:11" ht="21.75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  <c r="H165" s="57">
        <v>245535</v>
      </c>
      <c r="I165" s="57">
        <v>244646</v>
      </c>
      <c r="J165" s="56">
        <f t="shared" ca="1" si="4"/>
        <v>941</v>
      </c>
      <c r="K165" s="56">
        <f t="shared" ca="1" si="5"/>
        <v>52</v>
      </c>
    </row>
    <row r="166" spans="1:11" ht="20.25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  <c r="H166" s="57">
        <v>244804</v>
      </c>
      <c r="I166" s="57">
        <v>244987</v>
      </c>
      <c r="J166" s="56">
        <f t="shared" ca="1" si="4"/>
        <v>210</v>
      </c>
      <c r="K166" s="56">
        <f t="shared" ca="1" si="5"/>
        <v>393</v>
      </c>
    </row>
    <row r="167" spans="1:11" ht="20.25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  <c r="H167" s="57">
        <v>245169</v>
      </c>
      <c r="I167" s="57">
        <v>245169</v>
      </c>
      <c r="J167" s="56">
        <f t="shared" ca="1" si="4"/>
        <v>575</v>
      </c>
      <c r="K167" s="56">
        <f t="shared" ca="1" si="5"/>
        <v>575</v>
      </c>
    </row>
    <row r="168" spans="1:11" ht="20.25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  <c r="H168" s="57">
        <v>245169</v>
      </c>
      <c r="I168" s="57">
        <v>245169</v>
      </c>
      <c r="J168" s="56">
        <f t="shared" ca="1" si="4"/>
        <v>575</v>
      </c>
      <c r="K168" s="56">
        <f t="shared" ca="1" si="5"/>
        <v>575</v>
      </c>
    </row>
    <row r="169" spans="1:11" ht="20.25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  <c r="H169" s="57">
        <v>244804</v>
      </c>
      <c r="I169" s="57">
        <v>244804</v>
      </c>
      <c r="J169" s="56">
        <f t="shared" ca="1" si="4"/>
        <v>210</v>
      </c>
      <c r="K169" s="56">
        <f t="shared" ca="1" si="5"/>
        <v>210</v>
      </c>
    </row>
    <row r="170" spans="1:11" ht="20.25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  <c r="H170" s="57">
        <v>244804</v>
      </c>
      <c r="I170" s="57">
        <v>245043</v>
      </c>
      <c r="J170" s="56">
        <f t="shared" ca="1" si="4"/>
        <v>210</v>
      </c>
      <c r="K170" s="56">
        <f t="shared" ca="1" si="5"/>
        <v>449</v>
      </c>
    </row>
    <row r="171" spans="1:11" ht="20.25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  <c r="H171" s="57">
        <v>245169</v>
      </c>
      <c r="I171" s="57">
        <v>245169</v>
      </c>
      <c r="J171" s="56">
        <f t="shared" ca="1" si="4"/>
        <v>575</v>
      </c>
      <c r="K171" s="56">
        <f t="shared" ca="1" si="5"/>
        <v>575</v>
      </c>
    </row>
    <row r="172" spans="1:11" ht="21.75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  <c r="H172" s="57">
        <v>245169</v>
      </c>
      <c r="I172" s="57">
        <v>245169</v>
      </c>
      <c r="J172" s="56">
        <f t="shared" ca="1" si="4"/>
        <v>575</v>
      </c>
      <c r="K172" s="56">
        <f t="shared" ca="1" si="5"/>
        <v>575</v>
      </c>
    </row>
    <row r="173" spans="1:11" ht="21.75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  <c r="H173" s="57">
        <v>244804</v>
      </c>
      <c r="I173" s="57">
        <v>245169</v>
      </c>
      <c r="J173" s="56">
        <f t="shared" ca="1" si="4"/>
        <v>210</v>
      </c>
      <c r="K173" s="56">
        <f t="shared" ca="1" si="5"/>
        <v>575</v>
      </c>
    </row>
    <row r="174" spans="1:11" ht="21.75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  <c r="H174" s="57">
        <v>244804</v>
      </c>
      <c r="I174" s="57" t="s">
        <v>786</v>
      </c>
      <c r="J174" s="56">
        <f t="shared" ca="1" si="4"/>
        <v>210</v>
      </c>
      <c r="K174" s="56">
        <f t="shared" si="5"/>
        <v>999</v>
      </c>
    </row>
    <row r="175" spans="1:11" ht="20.25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  <c r="H175" s="57">
        <v>245169</v>
      </c>
      <c r="I175" s="57">
        <v>245169</v>
      </c>
      <c r="J175" s="56">
        <f t="shared" ca="1" si="4"/>
        <v>575</v>
      </c>
      <c r="K175" s="56">
        <f t="shared" ca="1" si="5"/>
        <v>575</v>
      </c>
    </row>
    <row r="176" spans="1:11" ht="21.75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  <c r="H176" s="57">
        <v>245169</v>
      </c>
      <c r="I176" s="57">
        <v>245169</v>
      </c>
      <c r="J176" s="56">
        <f t="shared" ca="1" si="4"/>
        <v>575</v>
      </c>
      <c r="K176" s="56">
        <f t="shared" ca="1" si="5"/>
        <v>575</v>
      </c>
    </row>
    <row r="177" spans="1:11" ht="21.75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  <c r="H177" s="57">
        <v>245169</v>
      </c>
      <c r="I177" s="57">
        <v>245169</v>
      </c>
      <c r="J177" s="56">
        <f t="shared" ca="1" si="4"/>
        <v>575</v>
      </c>
      <c r="K177" s="56">
        <f t="shared" ca="1" si="5"/>
        <v>575</v>
      </c>
    </row>
    <row r="178" spans="1:11" ht="21.75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  <c r="H178" s="57">
        <v>244804</v>
      </c>
      <c r="I178" s="57">
        <v>244804</v>
      </c>
      <c r="J178" s="56">
        <f t="shared" ca="1" si="4"/>
        <v>210</v>
      </c>
      <c r="K178" s="56">
        <f t="shared" ca="1" si="5"/>
        <v>210</v>
      </c>
    </row>
    <row r="179" spans="1:11" ht="21.75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  <c r="H179" s="57">
        <v>244804</v>
      </c>
      <c r="I179" s="57">
        <v>244804</v>
      </c>
      <c r="J179" s="56">
        <f t="shared" ca="1" si="4"/>
        <v>210</v>
      </c>
      <c r="K179" s="56">
        <f t="shared" ca="1" si="5"/>
        <v>210</v>
      </c>
    </row>
    <row r="180" spans="1:11" ht="21.75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  <c r="H180" s="57">
        <v>245169</v>
      </c>
      <c r="I180" s="57">
        <v>244804</v>
      </c>
      <c r="J180" s="56">
        <f t="shared" ca="1" si="4"/>
        <v>575</v>
      </c>
      <c r="K180" s="56">
        <f t="shared" ca="1" si="5"/>
        <v>210</v>
      </c>
    </row>
    <row r="181" spans="1:11" ht="20.25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  <c r="H181" s="57">
        <v>244804</v>
      </c>
      <c r="I181" s="57" t="s">
        <v>788</v>
      </c>
      <c r="J181" s="56">
        <f t="shared" ca="1" si="4"/>
        <v>210</v>
      </c>
      <c r="K181" s="56">
        <f t="shared" si="5"/>
        <v>999</v>
      </c>
    </row>
    <row r="182" spans="1:11" ht="20.25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  <c r="H182" s="57">
        <v>245260</v>
      </c>
      <c r="I182" s="57" t="s">
        <v>786</v>
      </c>
      <c r="J182" s="56">
        <f t="shared" ca="1" si="4"/>
        <v>666</v>
      </c>
      <c r="K182" s="56">
        <f t="shared" si="5"/>
        <v>999</v>
      </c>
    </row>
    <row r="183" spans="1:11" ht="20.25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  <c r="H183" s="57">
        <v>245626</v>
      </c>
      <c r="I183" s="57" t="s">
        <v>786</v>
      </c>
      <c r="J183" s="56">
        <f t="shared" ca="1" si="4"/>
        <v>1032</v>
      </c>
      <c r="K183" s="56">
        <f t="shared" si="5"/>
        <v>999</v>
      </c>
    </row>
    <row r="184" spans="1:11" s="2" customFormat="1" ht="20.25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  <c r="H184" s="57">
        <v>245260</v>
      </c>
      <c r="I184" s="57" t="s">
        <v>786</v>
      </c>
      <c r="J184" s="56">
        <f t="shared" ca="1" si="4"/>
        <v>666</v>
      </c>
      <c r="K184" s="56">
        <f t="shared" si="5"/>
        <v>999</v>
      </c>
    </row>
    <row r="185" spans="1:11" ht="20.25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  <c r="H185" s="57">
        <v>244895</v>
      </c>
      <c r="I185" s="57" t="s">
        <v>786</v>
      </c>
      <c r="J185" s="56">
        <f t="shared" ca="1" si="4"/>
        <v>301</v>
      </c>
      <c r="K185" s="56">
        <f t="shared" si="5"/>
        <v>999</v>
      </c>
    </row>
    <row r="186" spans="1:11" ht="20.25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  <c r="H186" s="57">
        <v>245626</v>
      </c>
      <c r="I186" s="57">
        <v>245305</v>
      </c>
      <c r="J186" s="56">
        <f t="shared" ca="1" si="4"/>
        <v>1032</v>
      </c>
      <c r="K186" s="56">
        <f t="shared" ca="1" si="5"/>
        <v>711</v>
      </c>
    </row>
    <row r="187" spans="1:11" ht="20.25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  <c r="H187" s="57">
        <v>245260</v>
      </c>
      <c r="I187" s="57" t="s">
        <v>786</v>
      </c>
      <c r="J187" s="56">
        <f t="shared" ca="1" si="4"/>
        <v>666</v>
      </c>
      <c r="K187" s="56">
        <f t="shared" si="5"/>
        <v>999</v>
      </c>
    </row>
    <row r="188" spans="1:11" ht="21.75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  <c r="H188" s="57">
        <v>244530</v>
      </c>
      <c r="I188" s="57" t="s">
        <v>787</v>
      </c>
      <c r="J188" s="56">
        <f t="shared" ca="1" si="4"/>
        <v>-64</v>
      </c>
      <c r="K188" s="56">
        <f t="shared" si="5"/>
        <v>999</v>
      </c>
    </row>
    <row r="189" spans="1:11" ht="2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  <c r="H189" s="57">
        <v>243434</v>
      </c>
      <c r="I189" s="57" t="s">
        <v>787</v>
      </c>
      <c r="J189" s="56">
        <f t="shared" ca="1" si="4"/>
        <v>-1160</v>
      </c>
      <c r="K189" s="56">
        <f t="shared" si="5"/>
        <v>999</v>
      </c>
    </row>
    <row r="190" spans="1:11" ht="2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  <c r="H190" s="57">
        <v>243434</v>
      </c>
      <c r="I190" s="57" t="s">
        <v>787</v>
      </c>
      <c r="J190" s="56">
        <f t="shared" ca="1" si="4"/>
        <v>-1160</v>
      </c>
      <c r="K190" s="56">
        <f t="shared" si="5"/>
        <v>999</v>
      </c>
    </row>
    <row r="191" spans="1:11" ht="21.75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  <c r="H191" s="57">
        <v>243799</v>
      </c>
      <c r="I191" s="57" t="s">
        <v>787</v>
      </c>
      <c r="J191" s="56">
        <f t="shared" ca="1" si="4"/>
        <v>-795</v>
      </c>
      <c r="K191" s="56">
        <f t="shared" si="5"/>
        <v>999</v>
      </c>
    </row>
    <row r="192" spans="1:11" ht="21.75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  <c r="H192" s="57">
        <v>243434</v>
      </c>
      <c r="I192" s="57" t="s">
        <v>787</v>
      </c>
      <c r="J192" s="56">
        <f t="shared" ca="1" si="4"/>
        <v>-1160</v>
      </c>
      <c r="K192" s="56">
        <f t="shared" si="5"/>
        <v>999</v>
      </c>
    </row>
    <row r="193" spans="1:11" ht="21.75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  <c r="H193" s="57">
        <v>243434</v>
      </c>
      <c r="I193" s="57" t="s">
        <v>787</v>
      </c>
      <c r="J193" s="56">
        <f t="shared" ca="1" si="4"/>
        <v>-1160</v>
      </c>
      <c r="K193" s="56">
        <f t="shared" si="5"/>
        <v>999</v>
      </c>
    </row>
    <row r="194" spans="1:11" ht="20.25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  <c r="H194" s="57">
        <v>243434</v>
      </c>
      <c r="I194" s="57" t="s">
        <v>787</v>
      </c>
      <c r="J194" s="56">
        <f t="shared" ca="1" si="4"/>
        <v>-1160</v>
      </c>
      <c r="K194" s="56">
        <f t="shared" si="5"/>
        <v>999</v>
      </c>
    </row>
    <row r="195" spans="1:11" ht="21.75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  <c r="H195" s="57">
        <v>244895</v>
      </c>
      <c r="I195" s="57">
        <v>245257</v>
      </c>
      <c r="J195" s="56">
        <f t="shared" ref="J195:J258" ca="1" si="6">IFERROR((H195-$K$1),0)</f>
        <v>301</v>
      </c>
      <c r="K195" s="56">
        <f t="shared" ref="K195:K258" ca="1" si="7">IF(I195="ยังไม่ได้ทำ BG",-9999,IF(OR(I195="ค้ำเงินสด",I195="ค้ำประกันรายได้",I195="วงเงินรวม SCG"),999,IFERROR((I195-$K$1),0)))</f>
        <v>663</v>
      </c>
    </row>
    <row r="196" spans="1:11" ht="21.75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  <c r="H196" s="57">
        <v>244895</v>
      </c>
      <c r="I196" s="57">
        <v>245257</v>
      </c>
      <c r="J196" s="56">
        <f t="shared" ca="1" si="6"/>
        <v>301</v>
      </c>
      <c r="K196" s="56">
        <f t="shared" ca="1" si="7"/>
        <v>663</v>
      </c>
    </row>
    <row r="197" spans="1:11" ht="2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244622</v>
      </c>
      <c r="G197" s="13" t="s">
        <v>779</v>
      </c>
      <c r="H197" s="57">
        <v>245626</v>
      </c>
      <c r="I197" s="57">
        <v>245626</v>
      </c>
      <c r="J197" s="56">
        <f t="shared" ca="1" si="6"/>
        <v>1032</v>
      </c>
      <c r="K197" s="56">
        <f t="shared" ca="1" si="7"/>
        <v>1032</v>
      </c>
    </row>
    <row r="198" spans="1:11" ht="21.75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  <c r="H198" s="57">
        <v>245260</v>
      </c>
      <c r="I198" s="57">
        <v>244638</v>
      </c>
      <c r="J198" s="56">
        <f t="shared" ca="1" si="6"/>
        <v>666</v>
      </c>
      <c r="K198" s="56">
        <f t="shared" ca="1" si="7"/>
        <v>44</v>
      </c>
    </row>
    <row r="199" spans="1:11" ht="21.75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  <c r="H199" s="57">
        <v>245260</v>
      </c>
      <c r="I199" s="57">
        <v>244616</v>
      </c>
      <c r="J199" s="56">
        <f t="shared" ca="1" si="6"/>
        <v>666</v>
      </c>
      <c r="K199" s="56">
        <f t="shared" ca="1" si="7"/>
        <v>22</v>
      </c>
    </row>
    <row r="200" spans="1:11" ht="21.75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  <c r="H200" s="57">
        <v>245260</v>
      </c>
      <c r="I200" s="57">
        <v>244616</v>
      </c>
      <c r="J200" s="56">
        <f t="shared" ca="1" si="6"/>
        <v>666</v>
      </c>
      <c r="K200" s="56">
        <f t="shared" ca="1" si="7"/>
        <v>22</v>
      </c>
    </row>
    <row r="201" spans="1:11" ht="20.25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  <c r="H201" s="57"/>
      <c r="I201" s="57">
        <v>244834</v>
      </c>
      <c r="J201" s="56">
        <f t="shared" ca="1" si="6"/>
        <v>-244594</v>
      </c>
      <c r="K201" s="56">
        <f t="shared" ca="1" si="7"/>
        <v>240</v>
      </c>
    </row>
    <row r="202" spans="1:11" ht="20.25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  <c r="H202" s="57">
        <v>244895</v>
      </c>
      <c r="I202" s="57">
        <v>244627</v>
      </c>
      <c r="J202" s="56">
        <f t="shared" ca="1" si="6"/>
        <v>301</v>
      </c>
      <c r="K202" s="56">
        <f t="shared" ca="1" si="7"/>
        <v>33</v>
      </c>
    </row>
    <row r="203" spans="1:11" ht="20.25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244683</v>
      </c>
      <c r="G203" s="28" t="s">
        <v>773</v>
      </c>
      <c r="H203" s="57">
        <v>242704</v>
      </c>
      <c r="I203" s="57">
        <v>244834</v>
      </c>
      <c r="J203" s="56">
        <f t="shared" ca="1" si="6"/>
        <v>-1890</v>
      </c>
      <c r="K203" s="56">
        <f t="shared" ca="1" si="7"/>
        <v>240</v>
      </c>
    </row>
    <row r="204" spans="1:11" ht="20.25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  <c r="H204" s="57">
        <v>244895</v>
      </c>
      <c r="I204" s="57">
        <v>244834</v>
      </c>
      <c r="J204" s="56">
        <f t="shared" ca="1" si="6"/>
        <v>301</v>
      </c>
      <c r="K204" s="56">
        <f t="shared" ca="1" si="7"/>
        <v>240</v>
      </c>
    </row>
    <row r="205" spans="1:11" ht="20.25" customHeight="1" thickBot="1">
      <c r="A205" s="41" t="s">
        <v>768</v>
      </c>
      <c r="B205" s="30" t="s">
        <v>543</v>
      </c>
      <c r="C205" s="30" t="s">
        <v>270</v>
      </c>
      <c r="D205" s="30" t="s">
        <v>271</v>
      </c>
      <c r="E205" s="29" t="s">
        <v>775</v>
      </c>
      <c r="F205" s="32">
        <v>244622</v>
      </c>
      <c r="G205" s="33" t="s">
        <v>744</v>
      </c>
      <c r="H205" s="57">
        <v>245626</v>
      </c>
      <c r="I205" s="57">
        <v>245718</v>
      </c>
      <c r="J205" s="56">
        <f t="shared" ca="1" si="6"/>
        <v>1032</v>
      </c>
      <c r="K205" s="56">
        <f t="shared" ca="1" si="7"/>
        <v>1124</v>
      </c>
    </row>
    <row r="206" spans="1:11" ht="20.25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29" t="s">
        <v>775</v>
      </c>
      <c r="F206" s="32">
        <v>244622</v>
      </c>
      <c r="G206" s="33" t="s">
        <v>744</v>
      </c>
      <c r="H206" s="57">
        <v>245626</v>
      </c>
      <c r="I206" s="57">
        <v>244743</v>
      </c>
      <c r="J206" s="56">
        <f t="shared" ca="1" si="6"/>
        <v>1032</v>
      </c>
      <c r="K206" s="56">
        <f t="shared" ca="1" si="7"/>
        <v>149</v>
      </c>
    </row>
    <row r="207" spans="1:11" ht="20.25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  <c r="H207" s="57">
        <v>244895</v>
      </c>
      <c r="I207" s="57">
        <v>245865</v>
      </c>
      <c r="J207" s="56">
        <f t="shared" ca="1" si="6"/>
        <v>301</v>
      </c>
      <c r="K207" s="56">
        <f t="shared" ca="1" si="7"/>
        <v>1271</v>
      </c>
    </row>
    <row r="208" spans="1:11" ht="20.25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  <c r="H208" s="57">
        <v>245260</v>
      </c>
      <c r="I208" s="57" t="s">
        <v>787</v>
      </c>
      <c r="J208" s="56">
        <f t="shared" ca="1" si="6"/>
        <v>666</v>
      </c>
      <c r="K208" s="56">
        <f t="shared" si="7"/>
        <v>999</v>
      </c>
    </row>
    <row r="209" spans="1:11" ht="20.25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  <c r="H209" s="57">
        <v>243799</v>
      </c>
      <c r="I209" s="57">
        <v>244652</v>
      </c>
      <c r="J209" s="56">
        <f t="shared" ca="1" si="6"/>
        <v>-795</v>
      </c>
      <c r="K209" s="56">
        <f t="shared" ca="1" si="7"/>
        <v>58</v>
      </c>
    </row>
    <row r="210" spans="1:11" ht="20.25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  <c r="H210" s="57">
        <v>244895</v>
      </c>
      <c r="I210" s="57" t="s">
        <v>787</v>
      </c>
      <c r="J210" s="56">
        <f t="shared" ca="1" si="6"/>
        <v>301</v>
      </c>
      <c r="K210" s="56">
        <f t="shared" si="7"/>
        <v>999</v>
      </c>
    </row>
    <row r="211" spans="1:11" ht="20.25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29" t="s">
        <v>775</v>
      </c>
      <c r="F211" s="32">
        <v>244622</v>
      </c>
      <c r="G211" s="33" t="s">
        <v>3</v>
      </c>
      <c r="H211" s="57">
        <v>244895</v>
      </c>
      <c r="I211" s="57" t="s">
        <v>788</v>
      </c>
      <c r="J211" s="56">
        <f t="shared" ca="1" si="6"/>
        <v>301</v>
      </c>
      <c r="K211" s="56">
        <f t="shared" si="7"/>
        <v>999</v>
      </c>
    </row>
    <row r="212" spans="1:11" ht="20.25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29" t="s">
        <v>775</v>
      </c>
      <c r="F212" s="32">
        <v>244622</v>
      </c>
      <c r="G212" s="33" t="s">
        <v>3</v>
      </c>
      <c r="H212" s="57">
        <v>245626</v>
      </c>
      <c r="I212" s="57" t="s">
        <v>788</v>
      </c>
      <c r="J212" s="56">
        <f t="shared" ca="1" si="6"/>
        <v>1032</v>
      </c>
      <c r="K212" s="56">
        <f t="shared" si="7"/>
        <v>999</v>
      </c>
    </row>
    <row r="213" spans="1:11" ht="20.25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29" t="s">
        <v>775</v>
      </c>
      <c r="F213" s="32">
        <v>244622</v>
      </c>
      <c r="G213" s="33" t="s">
        <v>3</v>
      </c>
      <c r="H213" s="57">
        <v>243069</v>
      </c>
      <c r="I213" s="57" t="s">
        <v>788</v>
      </c>
      <c r="J213" s="56">
        <f t="shared" ca="1" si="6"/>
        <v>-1525</v>
      </c>
      <c r="K213" s="56">
        <f t="shared" si="7"/>
        <v>999</v>
      </c>
    </row>
    <row r="214" spans="1:11" ht="20.25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  <c r="H214" s="57">
        <v>244895</v>
      </c>
      <c r="I214" s="57">
        <v>244905</v>
      </c>
      <c r="J214" s="56">
        <f t="shared" ca="1" si="6"/>
        <v>301</v>
      </c>
      <c r="K214" s="56">
        <f t="shared" ca="1" si="7"/>
        <v>311</v>
      </c>
    </row>
    <row r="215" spans="1:11" ht="21.75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  <c r="H215" s="57">
        <v>245626</v>
      </c>
      <c r="I215" s="57">
        <v>245574</v>
      </c>
      <c r="J215" s="56">
        <f t="shared" ca="1" si="6"/>
        <v>1032</v>
      </c>
      <c r="K215" s="56">
        <f t="shared" ca="1" si="7"/>
        <v>980</v>
      </c>
    </row>
    <row r="216" spans="1:11" ht="21.75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  <c r="H216" s="57">
        <v>245260</v>
      </c>
      <c r="I216" s="57">
        <v>245626</v>
      </c>
      <c r="J216" s="56">
        <f t="shared" ca="1" si="6"/>
        <v>666</v>
      </c>
      <c r="K216" s="56">
        <f t="shared" ca="1" si="7"/>
        <v>1032</v>
      </c>
    </row>
    <row r="217" spans="1:11" ht="21.75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  <c r="H217" s="57">
        <v>245626</v>
      </c>
      <c r="I217" s="57">
        <v>245626</v>
      </c>
      <c r="J217" s="56">
        <f t="shared" ca="1" si="6"/>
        <v>1032</v>
      </c>
      <c r="K217" s="56">
        <f t="shared" ca="1" si="7"/>
        <v>1032</v>
      </c>
    </row>
    <row r="218" spans="1:11" ht="21.75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  <c r="H218" s="57">
        <v>244895</v>
      </c>
      <c r="I218" s="57">
        <v>245769</v>
      </c>
      <c r="J218" s="56">
        <f t="shared" ca="1" si="6"/>
        <v>301</v>
      </c>
      <c r="K218" s="56">
        <f t="shared" ca="1" si="7"/>
        <v>1175</v>
      </c>
    </row>
    <row r="219" spans="1:11" ht="20.25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  <c r="H219" s="57">
        <v>244895</v>
      </c>
      <c r="I219" s="57">
        <v>245416</v>
      </c>
      <c r="J219" s="56">
        <f t="shared" ca="1" si="6"/>
        <v>301</v>
      </c>
      <c r="K219" s="56">
        <f t="shared" ca="1" si="7"/>
        <v>822</v>
      </c>
    </row>
    <row r="220" spans="1:11" ht="20.25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  <c r="H220" s="57">
        <v>244895</v>
      </c>
      <c r="I220" s="57">
        <v>245292</v>
      </c>
      <c r="J220" s="56">
        <f t="shared" ca="1" si="6"/>
        <v>301</v>
      </c>
      <c r="K220" s="56">
        <f t="shared" ca="1" si="7"/>
        <v>698</v>
      </c>
    </row>
    <row r="221" spans="1:11" ht="2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  <c r="H221" s="57">
        <v>245626</v>
      </c>
      <c r="I221" s="57">
        <v>244612</v>
      </c>
      <c r="J221" s="56">
        <f t="shared" ca="1" si="6"/>
        <v>1032</v>
      </c>
      <c r="K221" s="56">
        <f t="shared" ca="1" si="7"/>
        <v>18</v>
      </c>
    </row>
    <row r="222" spans="1:11" ht="20.25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  <c r="H222" s="57">
        <v>245626</v>
      </c>
      <c r="I222" s="57">
        <v>244612</v>
      </c>
      <c r="J222" s="56">
        <f t="shared" ca="1" si="6"/>
        <v>1032</v>
      </c>
      <c r="K222" s="56">
        <f t="shared" ca="1" si="7"/>
        <v>18</v>
      </c>
    </row>
    <row r="223" spans="1:11" ht="2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  <c r="H223" s="57">
        <v>244895</v>
      </c>
      <c r="I223" s="57" t="s">
        <v>787</v>
      </c>
      <c r="J223" s="56">
        <f t="shared" ca="1" si="6"/>
        <v>301</v>
      </c>
      <c r="K223" s="56">
        <f t="shared" si="7"/>
        <v>999</v>
      </c>
    </row>
    <row r="224" spans="1:11" ht="21.75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  <c r="H224" s="57">
        <v>245626</v>
      </c>
      <c r="I224" s="57">
        <v>244612</v>
      </c>
      <c r="J224" s="56">
        <f t="shared" ca="1" si="6"/>
        <v>1032</v>
      </c>
      <c r="K224" s="56">
        <f t="shared" ca="1" si="7"/>
        <v>18</v>
      </c>
    </row>
    <row r="225" spans="1:11" ht="21.75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  <c r="H225" s="57">
        <v>245260</v>
      </c>
      <c r="I225" s="57" t="s">
        <v>787</v>
      </c>
      <c r="J225" s="56">
        <f t="shared" ca="1" si="6"/>
        <v>666</v>
      </c>
      <c r="K225" s="56">
        <f t="shared" si="7"/>
        <v>999</v>
      </c>
    </row>
    <row r="226" spans="1:11" ht="20.25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  <c r="H226" s="57">
        <v>245260</v>
      </c>
      <c r="I226" s="57" t="s">
        <v>787</v>
      </c>
      <c r="J226" s="56">
        <f t="shared" ca="1" si="6"/>
        <v>666</v>
      </c>
      <c r="K226" s="56">
        <f t="shared" si="7"/>
        <v>999</v>
      </c>
    </row>
    <row r="227" spans="1:11" ht="2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  <c r="H227" s="57">
        <v>245626</v>
      </c>
      <c r="I227" s="57" t="s">
        <v>787</v>
      </c>
      <c r="J227" s="56">
        <f t="shared" ca="1" si="6"/>
        <v>1032</v>
      </c>
      <c r="K227" s="56">
        <f t="shared" si="7"/>
        <v>999</v>
      </c>
    </row>
    <row r="228" spans="1:11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244895</v>
      </c>
      <c r="G228" s="11"/>
      <c r="H228" s="57">
        <v>245626</v>
      </c>
      <c r="I228" s="57">
        <v>244590</v>
      </c>
      <c r="J228" s="56">
        <f t="shared" ca="1" si="6"/>
        <v>1032</v>
      </c>
      <c r="K228" s="56">
        <f t="shared" ca="1" si="7"/>
        <v>-4</v>
      </c>
    </row>
    <row r="229" spans="1:11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9">
        <v>244895</v>
      </c>
      <c r="G229" s="39"/>
      <c r="H229" s="57">
        <v>245260</v>
      </c>
      <c r="I229" s="57">
        <v>244590</v>
      </c>
      <c r="J229" s="56">
        <f t="shared" ca="1" si="6"/>
        <v>666</v>
      </c>
      <c r="K229" s="56">
        <f t="shared" ca="1" si="7"/>
        <v>-4</v>
      </c>
    </row>
    <row r="230" spans="1:11" ht="20.25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  <c r="H230" s="57">
        <v>245260</v>
      </c>
      <c r="I230" s="57" t="s">
        <v>788</v>
      </c>
      <c r="J230" s="56">
        <f t="shared" ca="1" si="6"/>
        <v>666</v>
      </c>
      <c r="K230" s="56">
        <f t="shared" si="7"/>
        <v>999</v>
      </c>
    </row>
    <row r="231" spans="1:11" ht="20.25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  <c r="H231" s="57">
        <v>244530</v>
      </c>
      <c r="I231" s="57" t="s">
        <v>787</v>
      </c>
      <c r="J231" s="56">
        <f t="shared" ca="1" si="6"/>
        <v>-64</v>
      </c>
      <c r="K231" s="56">
        <f t="shared" si="7"/>
        <v>999</v>
      </c>
    </row>
    <row r="232" spans="1:11" ht="21.75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29" t="s">
        <v>775</v>
      </c>
      <c r="F232" s="32">
        <v>244622</v>
      </c>
      <c r="G232" s="33" t="s">
        <v>3</v>
      </c>
      <c r="H232" s="57">
        <v>245260</v>
      </c>
      <c r="I232" s="57">
        <v>245290</v>
      </c>
      <c r="J232" s="56">
        <f t="shared" ca="1" si="6"/>
        <v>666</v>
      </c>
      <c r="K232" s="56">
        <f t="shared" ca="1" si="7"/>
        <v>696</v>
      </c>
    </row>
    <row r="233" spans="1:11" ht="21.75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  <c r="H233" s="57">
        <v>245626</v>
      </c>
      <c r="I233" s="57" t="s">
        <v>787</v>
      </c>
      <c r="J233" s="56">
        <f t="shared" ca="1" si="6"/>
        <v>1032</v>
      </c>
      <c r="K233" s="56">
        <f t="shared" si="7"/>
        <v>999</v>
      </c>
    </row>
    <row r="234" spans="1:11" ht="21.75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  <c r="H234" s="57">
        <v>245626</v>
      </c>
      <c r="I234" s="57" t="s">
        <v>787</v>
      </c>
      <c r="J234" s="56">
        <f t="shared" ca="1" si="6"/>
        <v>1032</v>
      </c>
      <c r="K234" s="56">
        <f t="shared" si="7"/>
        <v>999</v>
      </c>
    </row>
    <row r="235" spans="1:11" ht="21.75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  <c r="H235" s="57">
        <v>245260</v>
      </c>
      <c r="I235" s="57" t="s">
        <v>786</v>
      </c>
      <c r="J235" s="56">
        <f t="shared" ca="1" si="6"/>
        <v>666</v>
      </c>
      <c r="K235" s="56">
        <f t="shared" si="7"/>
        <v>999</v>
      </c>
    </row>
    <row r="236" spans="1:11" ht="20.25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244622</v>
      </c>
      <c r="G236" s="33" t="s">
        <v>3</v>
      </c>
      <c r="H236" s="57">
        <v>245260</v>
      </c>
      <c r="I236" s="57" t="s">
        <v>788</v>
      </c>
      <c r="J236" s="56">
        <f t="shared" ca="1" si="6"/>
        <v>666</v>
      </c>
      <c r="K236" s="56">
        <f t="shared" si="7"/>
        <v>999</v>
      </c>
    </row>
    <row r="237" spans="1:11" ht="21.75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  <c r="H237" s="57">
        <v>245260</v>
      </c>
      <c r="I237" s="57">
        <v>245260</v>
      </c>
      <c r="J237" s="56">
        <f t="shared" ca="1" si="6"/>
        <v>666</v>
      </c>
      <c r="K237" s="56">
        <f t="shared" ca="1" si="7"/>
        <v>666</v>
      </c>
    </row>
    <row r="238" spans="1:11" ht="21.75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  <c r="H238" s="57">
        <v>245626</v>
      </c>
      <c r="I238" s="57">
        <v>244637</v>
      </c>
      <c r="J238" s="56">
        <f t="shared" ca="1" si="6"/>
        <v>1032</v>
      </c>
      <c r="K238" s="56">
        <f t="shared" ca="1" si="7"/>
        <v>43</v>
      </c>
    </row>
    <row r="239" spans="1:11" ht="21.75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  <c r="H239" s="57">
        <v>245260</v>
      </c>
      <c r="I239" s="57">
        <v>244637</v>
      </c>
      <c r="J239" s="56">
        <f t="shared" ca="1" si="6"/>
        <v>666</v>
      </c>
      <c r="K239" s="56">
        <f t="shared" ca="1" si="7"/>
        <v>43</v>
      </c>
    </row>
    <row r="240" spans="1:11" ht="20.25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  <c r="H240" s="57">
        <v>245626</v>
      </c>
      <c r="I240" s="57">
        <v>244622</v>
      </c>
      <c r="J240" s="56">
        <f t="shared" ca="1" si="6"/>
        <v>1032</v>
      </c>
      <c r="K240" s="56">
        <f t="shared" ca="1" si="7"/>
        <v>28</v>
      </c>
    </row>
    <row r="241" spans="1:11" ht="20.25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  <c r="H241" s="57">
        <v>244895</v>
      </c>
      <c r="I241" s="57">
        <v>245101</v>
      </c>
      <c r="J241" s="56">
        <f t="shared" ca="1" si="6"/>
        <v>301</v>
      </c>
      <c r="K241" s="56">
        <f t="shared" ca="1" si="7"/>
        <v>507</v>
      </c>
    </row>
    <row r="242" spans="1:11" ht="20.25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  <c r="H242" s="57">
        <v>244895</v>
      </c>
      <c r="I242" s="57">
        <v>245101</v>
      </c>
      <c r="J242" s="56">
        <f t="shared" ca="1" si="6"/>
        <v>301</v>
      </c>
      <c r="K242" s="56">
        <f t="shared" ca="1" si="7"/>
        <v>507</v>
      </c>
    </row>
    <row r="243" spans="1:11" ht="20.25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244622</v>
      </c>
      <c r="G243" s="33" t="s">
        <v>3</v>
      </c>
      <c r="H243" s="57">
        <v>245260</v>
      </c>
      <c r="I243" s="57">
        <v>245626</v>
      </c>
      <c r="J243" s="56">
        <f t="shared" ca="1" si="6"/>
        <v>666</v>
      </c>
      <c r="K243" s="56">
        <f t="shared" ca="1" si="7"/>
        <v>1032</v>
      </c>
    </row>
    <row r="244" spans="1:11" ht="20.25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244622</v>
      </c>
      <c r="G244" s="33" t="s">
        <v>3</v>
      </c>
      <c r="H244" s="57">
        <v>245260</v>
      </c>
      <c r="I244" s="57">
        <v>245626</v>
      </c>
      <c r="J244" s="56">
        <f t="shared" ca="1" si="6"/>
        <v>666</v>
      </c>
      <c r="K244" s="56">
        <f t="shared" ca="1" si="7"/>
        <v>1032</v>
      </c>
    </row>
    <row r="245" spans="1:11" ht="20.25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  <c r="H245" s="57">
        <v>245626</v>
      </c>
      <c r="I245" s="57">
        <v>245385</v>
      </c>
      <c r="J245" s="56">
        <f t="shared" ca="1" si="6"/>
        <v>1032</v>
      </c>
      <c r="K245" s="56">
        <f t="shared" ca="1" si="7"/>
        <v>791</v>
      </c>
    </row>
    <row r="246" spans="1:11" ht="21.75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  <c r="H246" s="57">
        <v>245626</v>
      </c>
      <c r="I246" s="57">
        <v>244853</v>
      </c>
      <c r="J246" s="56">
        <f t="shared" ca="1" si="6"/>
        <v>1032</v>
      </c>
      <c r="K246" s="56">
        <f t="shared" ca="1" si="7"/>
        <v>259</v>
      </c>
    </row>
    <row r="247" spans="1:11" ht="21.75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  <c r="H247" s="57">
        <v>245260</v>
      </c>
      <c r="I247" s="57">
        <v>245260</v>
      </c>
      <c r="J247" s="56">
        <f t="shared" ca="1" si="6"/>
        <v>666</v>
      </c>
      <c r="K247" s="56">
        <f t="shared" ca="1" si="7"/>
        <v>666</v>
      </c>
    </row>
    <row r="248" spans="1:11" ht="21.75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244622</v>
      </c>
      <c r="G248" s="33" t="s">
        <v>3</v>
      </c>
      <c r="H248" s="57">
        <v>245260</v>
      </c>
      <c r="I248" s="57">
        <v>245626</v>
      </c>
      <c r="J248" s="56">
        <f t="shared" ca="1" si="6"/>
        <v>666</v>
      </c>
      <c r="K248" s="56">
        <f t="shared" ca="1" si="7"/>
        <v>1032</v>
      </c>
    </row>
    <row r="249" spans="1:11" ht="21.75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  <c r="H249" s="57">
        <v>245626</v>
      </c>
      <c r="I249" s="57">
        <v>244939</v>
      </c>
      <c r="J249" s="56">
        <f t="shared" ca="1" si="6"/>
        <v>1032</v>
      </c>
      <c r="K249" s="56">
        <f t="shared" ca="1" si="7"/>
        <v>345</v>
      </c>
    </row>
    <row r="250" spans="1:11" ht="21.75" customHeight="1" thickBot="1">
      <c r="A250" s="15" t="s">
        <v>768</v>
      </c>
      <c r="B250" s="8" t="s">
        <v>743</v>
      </c>
      <c r="C250" s="11" t="s">
        <v>741</v>
      </c>
      <c r="D250" s="11" t="s">
        <v>742</v>
      </c>
      <c r="E250" s="7" t="s">
        <v>775</v>
      </c>
      <c r="F250" s="22">
        <v>244895</v>
      </c>
      <c r="G250" s="28"/>
      <c r="H250" s="57">
        <v>245260</v>
      </c>
      <c r="I250" s="57" t="s">
        <v>788</v>
      </c>
      <c r="J250" s="56">
        <f t="shared" ca="1" si="6"/>
        <v>666</v>
      </c>
      <c r="K250" s="56">
        <f t="shared" si="7"/>
        <v>999</v>
      </c>
    </row>
    <row r="251" spans="1:11" ht="20.25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  <c r="H251" s="57">
        <v>244895</v>
      </c>
      <c r="I251" s="57" t="s">
        <v>787</v>
      </c>
      <c r="J251" s="56">
        <f t="shared" ca="1" si="6"/>
        <v>301</v>
      </c>
      <c r="K251" s="56">
        <f t="shared" si="7"/>
        <v>999</v>
      </c>
    </row>
    <row r="252" spans="1:11" ht="20.25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  <c r="H252" s="57">
        <v>244895</v>
      </c>
      <c r="I252" s="57">
        <v>244895</v>
      </c>
      <c r="J252" s="56">
        <f t="shared" ca="1" si="6"/>
        <v>301</v>
      </c>
      <c r="K252" s="56">
        <f t="shared" ca="1" si="7"/>
        <v>301</v>
      </c>
    </row>
    <row r="253" spans="1:11" ht="20.25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  <c r="H253" s="57">
        <v>244895</v>
      </c>
      <c r="I253" s="57">
        <v>244895</v>
      </c>
      <c r="J253" s="56">
        <f t="shared" ca="1" si="6"/>
        <v>301</v>
      </c>
      <c r="K253" s="56">
        <f t="shared" ca="1" si="7"/>
        <v>301</v>
      </c>
    </row>
    <row r="254" spans="1:11" ht="20.25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  <c r="H254" s="57">
        <v>244895</v>
      </c>
      <c r="I254" s="57">
        <v>244895</v>
      </c>
      <c r="J254" s="56">
        <f t="shared" ca="1" si="6"/>
        <v>301</v>
      </c>
      <c r="K254" s="56">
        <f t="shared" ca="1" si="7"/>
        <v>301</v>
      </c>
    </row>
    <row r="255" spans="1:11" ht="20.25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  <c r="H255" s="57">
        <v>244895</v>
      </c>
      <c r="I255" s="57">
        <v>244895</v>
      </c>
      <c r="J255" s="56">
        <f t="shared" ca="1" si="6"/>
        <v>301</v>
      </c>
      <c r="K255" s="56">
        <f t="shared" ca="1" si="7"/>
        <v>301</v>
      </c>
    </row>
    <row r="256" spans="1:11" ht="20.25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  <c r="H256" s="57">
        <v>245260</v>
      </c>
      <c r="I256" s="57">
        <v>244895</v>
      </c>
      <c r="J256" s="56">
        <f t="shared" ca="1" si="6"/>
        <v>666</v>
      </c>
      <c r="K256" s="56">
        <f t="shared" ca="1" si="7"/>
        <v>301</v>
      </c>
    </row>
    <row r="257" spans="1:11" ht="20.25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  <c r="H257" s="57">
        <v>244895</v>
      </c>
      <c r="I257" s="57">
        <v>244804</v>
      </c>
      <c r="J257" s="56">
        <f t="shared" ca="1" si="6"/>
        <v>301</v>
      </c>
      <c r="K257" s="56">
        <f t="shared" ca="1" si="7"/>
        <v>210</v>
      </c>
    </row>
    <row r="258" spans="1:11" ht="21.75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  <c r="H258" s="57">
        <v>245260</v>
      </c>
      <c r="I258" s="57">
        <v>244804</v>
      </c>
      <c r="J258" s="56">
        <f t="shared" ca="1" si="6"/>
        <v>666</v>
      </c>
      <c r="K258" s="56">
        <f t="shared" ca="1" si="7"/>
        <v>210</v>
      </c>
    </row>
    <row r="259" spans="1:11" ht="21.75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  <c r="H259" s="57">
        <v>245260</v>
      </c>
      <c r="I259" s="57">
        <v>244804</v>
      </c>
      <c r="J259" s="56">
        <f t="shared" ref="J259:J297" ca="1" si="8">IFERROR((H259-$K$1),0)</f>
        <v>666</v>
      </c>
      <c r="K259" s="56">
        <f t="shared" ref="K259:K297" ca="1" si="9">IF(I259="ยังไม่ได้ทำ BG",-9999,IF(OR(I259="ค้ำเงินสด",I259="ค้ำประกันรายได้",I259="วงเงินรวม SCG"),999,IFERROR((I259-$K$1),0)))</f>
        <v>210</v>
      </c>
    </row>
    <row r="260" spans="1:11" ht="21.75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  <c r="H260" s="57">
        <v>244895</v>
      </c>
      <c r="I260" s="57">
        <v>244804</v>
      </c>
      <c r="J260" s="56">
        <f t="shared" ca="1" si="8"/>
        <v>301</v>
      </c>
      <c r="K260" s="56">
        <f t="shared" ca="1" si="9"/>
        <v>210</v>
      </c>
    </row>
    <row r="261" spans="1:11" ht="20.25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  <c r="H261" s="57">
        <v>245626</v>
      </c>
      <c r="I261" s="57">
        <v>244804</v>
      </c>
      <c r="J261" s="56">
        <f t="shared" ca="1" si="8"/>
        <v>1032</v>
      </c>
      <c r="K261" s="56">
        <f t="shared" ca="1" si="9"/>
        <v>210</v>
      </c>
    </row>
    <row r="262" spans="1:11" ht="20.25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  <c r="H262" s="57">
        <v>245626</v>
      </c>
      <c r="I262" s="57">
        <v>244804</v>
      </c>
      <c r="J262" s="56">
        <f t="shared" ca="1" si="8"/>
        <v>1032</v>
      </c>
      <c r="K262" s="56">
        <f t="shared" ca="1" si="9"/>
        <v>210</v>
      </c>
    </row>
    <row r="263" spans="1:11" ht="20.25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  <c r="H263" s="57">
        <v>245260</v>
      </c>
      <c r="I263" s="57">
        <v>244631</v>
      </c>
      <c r="J263" s="56">
        <f t="shared" ca="1" si="8"/>
        <v>666</v>
      </c>
      <c r="K263" s="56">
        <f t="shared" ca="1" si="9"/>
        <v>37</v>
      </c>
    </row>
    <row r="264" spans="1:11" ht="20.25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  <c r="H264" s="57">
        <v>245260</v>
      </c>
      <c r="I264" s="57">
        <v>245324</v>
      </c>
      <c r="J264" s="56">
        <f t="shared" ca="1" si="8"/>
        <v>666</v>
      </c>
      <c r="K264" s="56">
        <f t="shared" ca="1" si="9"/>
        <v>730</v>
      </c>
    </row>
    <row r="265" spans="1:11" ht="21.75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  <c r="H265" s="57">
        <v>245260</v>
      </c>
      <c r="I265" s="57">
        <v>245324</v>
      </c>
      <c r="J265" s="56">
        <f t="shared" ca="1" si="8"/>
        <v>666</v>
      </c>
      <c r="K265" s="56">
        <f t="shared" ca="1" si="9"/>
        <v>730</v>
      </c>
    </row>
    <row r="266" spans="1:11" ht="21.75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  <c r="H266" s="57">
        <v>245626</v>
      </c>
      <c r="I266" s="57">
        <v>245810</v>
      </c>
      <c r="J266" s="56">
        <f t="shared" ca="1" si="8"/>
        <v>1032</v>
      </c>
      <c r="K266" s="56">
        <f t="shared" ca="1" si="9"/>
        <v>1216</v>
      </c>
    </row>
    <row r="267" spans="1:11" ht="21.75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  <c r="H267" s="57">
        <v>245260</v>
      </c>
      <c r="I267" s="57">
        <v>245147</v>
      </c>
      <c r="J267" s="56">
        <f t="shared" ca="1" si="8"/>
        <v>666</v>
      </c>
      <c r="K267" s="56">
        <f t="shared" ca="1" si="9"/>
        <v>553</v>
      </c>
    </row>
    <row r="268" spans="1:11" ht="21.75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  <c r="H268" s="57">
        <v>244895</v>
      </c>
      <c r="I268" s="57">
        <v>245079</v>
      </c>
      <c r="J268" s="56">
        <f t="shared" ca="1" si="8"/>
        <v>301</v>
      </c>
      <c r="K268" s="56">
        <f t="shared" ca="1" si="9"/>
        <v>485</v>
      </c>
    </row>
    <row r="269" spans="1:11" ht="20.25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  <c r="H269" s="57">
        <v>244895</v>
      </c>
      <c r="I269" s="57">
        <v>245079</v>
      </c>
      <c r="J269" s="56">
        <f t="shared" ca="1" si="8"/>
        <v>301</v>
      </c>
      <c r="K269" s="56">
        <f t="shared" ca="1" si="9"/>
        <v>485</v>
      </c>
    </row>
    <row r="270" spans="1:11" ht="21.75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  <c r="H270" s="57">
        <v>245260</v>
      </c>
      <c r="I270" s="57">
        <v>245444</v>
      </c>
      <c r="J270" s="56">
        <f t="shared" ca="1" si="8"/>
        <v>666</v>
      </c>
      <c r="K270" s="56">
        <f t="shared" ca="1" si="9"/>
        <v>850</v>
      </c>
    </row>
    <row r="271" spans="1:11" ht="20.25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  <c r="H271" s="57">
        <v>244895</v>
      </c>
      <c r="I271" s="57">
        <v>244793</v>
      </c>
      <c r="J271" s="56">
        <f t="shared" ca="1" si="8"/>
        <v>301</v>
      </c>
      <c r="K271" s="56">
        <f t="shared" ca="1" si="9"/>
        <v>199</v>
      </c>
    </row>
    <row r="272" spans="1:11" ht="20.25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  <c r="H272" s="57">
        <v>245626</v>
      </c>
      <c r="I272" s="57">
        <v>244713</v>
      </c>
      <c r="J272" s="56">
        <f t="shared" ca="1" si="8"/>
        <v>1032</v>
      </c>
      <c r="K272" s="56">
        <f t="shared" ca="1" si="9"/>
        <v>119</v>
      </c>
    </row>
    <row r="273" spans="1:11" ht="2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  <c r="H273" s="57">
        <v>245260</v>
      </c>
      <c r="I273" s="57">
        <v>245443</v>
      </c>
      <c r="J273" s="56">
        <f t="shared" ca="1" si="8"/>
        <v>666</v>
      </c>
      <c r="K273" s="56">
        <f t="shared" ca="1" si="9"/>
        <v>849</v>
      </c>
    </row>
    <row r="274" spans="1:11" ht="2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  <c r="H274" s="57">
        <v>245260</v>
      </c>
      <c r="I274" s="57">
        <v>245443</v>
      </c>
      <c r="J274" s="56">
        <f t="shared" ca="1" si="8"/>
        <v>666</v>
      </c>
      <c r="K274" s="56">
        <f t="shared" ca="1" si="9"/>
        <v>849</v>
      </c>
    </row>
    <row r="275" spans="1:11" ht="2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  <c r="H275" s="57">
        <v>245260</v>
      </c>
      <c r="I275" s="57">
        <v>245443</v>
      </c>
      <c r="J275" s="56">
        <f t="shared" ca="1" si="8"/>
        <v>666</v>
      </c>
      <c r="K275" s="56">
        <f t="shared" ca="1" si="9"/>
        <v>849</v>
      </c>
    </row>
    <row r="276" spans="1:11" ht="2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29" t="s">
        <v>775</v>
      </c>
      <c r="F276" s="32">
        <v>244622</v>
      </c>
      <c r="G276" s="33" t="s">
        <v>3</v>
      </c>
      <c r="H276" s="57">
        <v>245260</v>
      </c>
      <c r="I276" s="57">
        <v>245231</v>
      </c>
      <c r="J276" s="56">
        <f t="shared" ca="1" si="8"/>
        <v>666</v>
      </c>
      <c r="K276" s="56">
        <f t="shared" ca="1" si="9"/>
        <v>637</v>
      </c>
    </row>
    <row r="277" spans="1:11" ht="2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  <c r="H277" s="57">
        <v>245260</v>
      </c>
      <c r="I277" s="57" t="s">
        <v>788</v>
      </c>
      <c r="J277" s="56">
        <f t="shared" ca="1" si="8"/>
        <v>666</v>
      </c>
      <c r="K277" s="56">
        <f t="shared" si="9"/>
        <v>999</v>
      </c>
    </row>
    <row r="278" spans="1:11" ht="2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  <c r="H278" s="57">
        <v>245626</v>
      </c>
      <c r="I278" s="57">
        <v>244864</v>
      </c>
      <c r="J278" s="56">
        <f t="shared" ca="1" si="8"/>
        <v>1032</v>
      </c>
      <c r="K278" s="56">
        <f t="shared" ca="1" si="9"/>
        <v>270</v>
      </c>
    </row>
    <row r="279" spans="1:11" ht="2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  <c r="H279" s="57">
        <v>245626</v>
      </c>
      <c r="I279" s="57">
        <v>244864</v>
      </c>
      <c r="J279" s="56">
        <f t="shared" ca="1" si="8"/>
        <v>1032</v>
      </c>
      <c r="K279" s="56">
        <f t="shared" ca="1" si="9"/>
        <v>270</v>
      </c>
    </row>
    <row r="280" spans="1:11" ht="2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  <c r="H280" s="57">
        <v>245260</v>
      </c>
      <c r="I280" s="57" t="s">
        <v>786</v>
      </c>
      <c r="J280" s="56">
        <f t="shared" ca="1" si="8"/>
        <v>666</v>
      </c>
      <c r="K280" s="56">
        <f t="shared" si="9"/>
        <v>999</v>
      </c>
    </row>
    <row r="281" spans="1:11" ht="17.5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  <c r="H281" s="57">
        <v>245260</v>
      </c>
      <c r="I281" s="57" t="s">
        <v>786</v>
      </c>
      <c r="J281" s="56">
        <f t="shared" ca="1" si="8"/>
        <v>666</v>
      </c>
      <c r="K281" s="56">
        <f t="shared" si="9"/>
        <v>999</v>
      </c>
    </row>
    <row r="282" spans="1:11" ht="17.5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  <c r="H282" s="57">
        <v>245260</v>
      </c>
      <c r="I282" s="57" t="s">
        <v>786</v>
      </c>
      <c r="J282" s="56">
        <f t="shared" ca="1" si="8"/>
        <v>666</v>
      </c>
      <c r="K282" s="56">
        <f t="shared" si="9"/>
        <v>999</v>
      </c>
    </row>
    <row r="283" spans="1:11" ht="17.5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  <c r="H283" s="57">
        <v>245260</v>
      </c>
      <c r="I283" s="57" t="s">
        <v>786</v>
      </c>
      <c r="J283" s="56">
        <f t="shared" ca="1" si="8"/>
        <v>666</v>
      </c>
      <c r="K283" s="56">
        <f t="shared" si="9"/>
        <v>999</v>
      </c>
    </row>
    <row r="284" spans="1:11" ht="17.5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  <c r="H284" s="57">
        <v>245260</v>
      </c>
      <c r="I284" s="57" t="s">
        <v>786</v>
      </c>
      <c r="J284" s="56">
        <f t="shared" ca="1" si="8"/>
        <v>666</v>
      </c>
      <c r="K284" s="56">
        <f t="shared" si="9"/>
        <v>999</v>
      </c>
    </row>
    <row r="285" spans="1:11" ht="17.5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  <c r="H285" s="57">
        <v>244895</v>
      </c>
      <c r="I285" s="57" t="s">
        <v>786</v>
      </c>
      <c r="J285" s="56">
        <f t="shared" ca="1" si="8"/>
        <v>301</v>
      </c>
      <c r="K285" s="56">
        <f t="shared" si="9"/>
        <v>999</v>
      </c>
    </row>
    <row r="286" spans="1:11" ht="17.5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  <c r="H286" s="57">
        <v>244895</v>
      </c>
      <c r="I286" s="57" t="s">
        <v>786</v>
      </c>
      <c r="J286" s="56">
        <f t="shared" ca="1" si="8"/>
        <v>301</v>
      </c>
      <c r="K286" s="56">
        <f t="shared" si="9"/>
        <v>999</v>
      </c>
    </row>
    <row r="287" spans="1:11" ht="17.5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  <c r="H287" s="57">
        <v>244895</v>
      </c>
      <c r="I287" s="57" t="s">
        <v>786</v>
      </c>
      <c r="J287" s="56">
        <f t="shared" ca="1" si="8"/>
        <v>301</v>
      </c>
      <c r="K287" s="56">
        <f t="shared" si="9"/>
        <v>999</v>
      </c>
    </row>
    <row r="288" spans="1:11" ht="17.5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  <c r="H288" s="57">
        <v>244895</v>
      </c>
      <c r="I288" s="57" t="s">
        <v>786</v>
      </c>
      <c r="J288" s="56">
        <f t="shared" ca="1" si="8"/>
        <v>301</v>
      </c>
      <c r="K288" s="56">
        <f t="shared" si="9"/>
        <v>999</v>
      </c>
    </row>
    <row r="289" spans="1:11 16361:16361" ht="17.5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  <c r="H289" s="57">
        <v>244895</v>
      </c>
      <c r="I289" s="57" t="s">
        <v>786</v>
      </c>
      <c r="J289" s="56">
        <f t="shared" ca="1" si="8"/>
        <v>301</v>
      </c>
      <c r="K289" s="56">
        <f t="shared" si="9"/>
        <v>999</v>
      </c>
    </row>
    <row r="290" spans="1:11 16361:16361" ht="21.75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  <c r="H290" s="57">
        <v>245626</v>
      </c>
      <c r="I290" s="57" t="s">
        <v>786</v>
      </c>
      <c r="J290" s="56">
        <f t="shared" ca="1" si="8"/>
        <v>1032</v>
      </c>
      <c r="K290" s="56">
        <f t="shared" si="9"/>
        <v>999</v>
      </c>
    </row>
    <row r="291" spans="1:11 16361:16361" ht="17.5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H291" s="57">
        <v>245626</v>
      </c>
      <c r="I291" s="57" t="s">
        <v>787</v>
      </c>
      <c r="J291" s="56">
        <f t="shared" ca="1" si="8"/>
        <v>1032</v>
      </c>
      <c r="K291" s="56">
        <f t="shared" si="9"/>
        <v>999</v>
      </c>
      <c r="XEG291" s="46"/>
    </row>
    <row r="292" spans="1:11 16361:16361" ht="17.5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H292" s="57">
        <v>245626</v>
      </c>
      <c r="I292" s="57">
        <v>244648</v>
      </c>
      <c r="J292" s="56">
        <f t="shared" ca="1" si="8"/>
        <v>1032</v>
      </c>
      <c r="K292" s="56">
        <f t="shared" ca="1" si="9"/>
        <v>54</v>
      </c>
      <c r="XEG292" s="46"/>
    </row>
    <row r="293" spans="1:11 16361:16361" ht="17.5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H293" s="57">
        <v>245260</v>
      </c>
      <c r="I293" s="57" t="s">
        <v>786</v>
      </c>
      <c r="J293" s="56">
        <f t="shared" ca="1" si="8"/>
        <v>666</v>
      </c>
      <c r="K293" s="56">
        <f t="shared" si="9"/>
        <v>999</v>
      </c>
      <c r="XEG293" s="46"/>
    </row>
    <row r="294" spans="1:11 16361:16361" ht="17.5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  <c r="H294" s="57">
        <v>245260</v>
      </c>
      <c r="I294" s="57" t="s">
        <v>787</v>
      </c>
      <c r="J294" s="56">
        <f t="shared" ca="1" si="8"/>
        <v>666</v>
      </c>
      <c r="K294" s="56">
        <f t="shared" si="9"/>
        <v>999</v>
      </c>
    </row>
    <row r="295" spans="1:11 16361:16361" ht="17.5" thickBot="1">
      <c r="A295" s="15" t="s">
        <v>768</v>
      </c>
      <c r="B295" s="8" t="s">
        <v>783</v>
      </c>
      <c r="C295" s="11" t="s">
        <v>781</v>
      </c>
      <c r="D295" s="11" t="s">
        <v>782</v>
      </c>
      <c r="E295" s="7" t="s">
        <v>774</v>
      </c>
      <c r="F295" s="22">
        <v>244714</v>
      </c>
      <c r="G295" s="11"/>
      <c r="H295" s="57"/>
      <c r="I295" s="57" t="s">
        <v>786</v>
      </c>
      <c r="J295" s="56">
        <f t="shared" ca="1" si="8"/>
        <v>-244594</v>
      </c>
      <c r="K295" s="56">
        <f t="shared" si="9"/>
        <v>999</v>
      </c>
    </row>
    <row r="296" spans="1:11 16361:16361" ht="17.5" thickBot="1">
      <c r="A296" s="15" t="s">
        <v>768</v>
      </c>
      <c r="B296" s="13" t="s">
        <v>761</v>
      </c>
      <c r="C296" s="11" t="s">
        <v>708</v>
      </c>
      <c r="D296" s="11" t="s">
        <v>709</v>
      </c>
      <c r="E296" s="7" t="s">
        <v>774</v>
      </c>
      <c r="F296" s="22">
        <v>244653</v>
      </c>
      <c r="G296" s="11"/>
      <c r="H296" s="57"/>
      <c r="I296" s="57"/>
      <c r="J296" s="56">
        <f t="shared" ca="1" si="8"/>
        <v>-244594</v>
      </c>
      <c r="K296" s="56">
        <f t="shared" ca="1" si="9"/>
        <v>-244594</v>
      </c>
      <c r="XEG296" s="46"/>
    </row>
    <row r="297" spans="1:11 16361:16361" ht="17.5" thickBot="1">
      <c r="A297" s="15" t="s">
        <v>768</v>
      </c>
      <c r="B297" s="13" t="s">
        <v>761</v>
      </c>
      <c r="C297" s="11" t="s">
        <v>759</v>
      </c>
      <c r="D297" s="11" t="s">
        <v>760</v>
      </c>
      <c r="E297" s="7" t="s">
        <v>774</v>
      </c>
      <c r="F297" s="22">
        <v>244653</v>
      </c>
      <c r="G297" s="11"/>
      <c r="H297" s="57"/>
      <c r="I297" s="57"/>
      <c r="J297" s="56">
        <f t="shared" ca="1" si="8"/>
        <v>-244594</v>
      </c>
      <c r="K297" s="56">
        <f t="shared" ca="1" si="9"/>
        <v>-244594</v>
      </c>
    </row>
  </sheetData>
  <autoFilter ref="A1:I297" xr:uid="{2ADD9999-E05E-4DFC-9ACA-F5F92389CAD8}"/>
  <sortState ref="A2:G296">
    <sortCondition ref="A2:A296"/>
  </sortState>
  <conditionalFormatting sqref="G42 A2:G2 G213:G230 G232:G260 G276:G293 F261:G275 F277:F293 F29:G40 F57:G58 F43:G50 F60:G63 F52:G55 F6:G26 F3:G3 F233:F235 F251:F260 F245:F247 F237:F242 F207:F210 F41:F42 F249 F64 F204 F4:F5 F51 F27:F28 F56 F65:G100 G203:G204 F102:G202 E295:E297 A295:D296 F295:G296 A3:E204 A206:E293 A205:D205 G206:G211 F214:F231">
    <cfRule type="expression" dxfId="38" priority="366">
      <formula>$F2="ปิดชั่วคราว"</formula>
    </cfRule>
  </conditionalFormatting>
  <conditionalFormatting sqref="G101">
    <cfRule type="expression" dxfId="37" priority="277">
      <formula>$F101="ปิดชั่วคราว"</formula>
    </cfRule>
  </conditionalFormatting>
  <conditionalFormatting sqref="G4">
    <cfRule type="expression" dxfId="36" priority="252">
      <formula>$F4="ปิดชั่วคราว"</formula>
    </cfRule>
  </conditionalFormatting>
  <conditionalFormatting sqref="G5">
    <cfRule type="expression" dxfId="35" priority="251">
      <formula>$F5="ปิดชั่วคราว"</formula>
    </cfRule>
  </conditionalFormatting>
  <conditionalFormatting sqref="G27">
    <cfRule type="expression" dxfId="34" priority="250">
      <formula>$F27="ปิดชั่วคราว"</formula>
    </cfRule>
  </conditionalFormatting>
  <conditionalFormatting sqref="G41">
    <cfRule type="expression" dxfId="33" priority="247">
      <formula>$F41="ปิดชั่วคราว"</formula>
    </cfRule>
  </conditionalFormatting>
  <conditionalFormatting sqref="G51">
    <cfRule type="expression" dxfId="32" priority="245">
      <formula>$F51="ปิดชั่วคราว"</formula>
    </cfRule>
  </conditionalFormatting>
  <conditionalFormatting sqref="G64">
    <cfRule type="expression" dxfId="31" priority="244">
      <formula>$F64="ปิดชั่วคราว"</formula>
    </cfRule>
  </conditionalFormatting>
  <conditionalFormatting sqref="G56">
    <cfRule type="expression" dxfId="30" priority="243">
      <formula>$F56="ปิดชั่วคราว"</formula>
    </cfRule>
  </conditionalFormatting>
  <conditionalFormatting sqref="G28">
    <cfRule type="expression" dxfId="29" priority="229">
      <formula>$F28="ปิดชั่วคราว"</formula>
    </cfRule>
  </conditionalFormatting>
  <conditionalFormatting sqref="G59">
    <cfRule type="expression" dxfId="28" priority="223">
      <formula>$F59="ปิดชั่วคราว"</formula>
    </cfRule>
  </conditionalFormatting>
  <conditionalFormatting sqref="F101">
    <cfRule type="expression" dxfId="27" priority="205">
      <formula>$F101="ปิดชั่วคราว"</formula>
    </cfRule>
  </conditionalFormatting>
  <conditionalFormatting sqref="A297">
    <cfRule type="expression" dxfId="26" priority="203">
      <formula>$F297="ปิดชั่วคราว"</formula>
    </cfRule>
  </conditionalFormatting>
  <conditionalFormatting sqref="F203">
    <cfRule type="expression" dxfId="25" priority="193">
      <formula>$F203="ปิดชั่วคราว"</formula>
    </cfRule>
  </conditionalFormatting>
  <conditionalFormatting sqref="F59">
    <cfRule type="expression" dxfId="24" priority="172">
      <formula>$F59="ปิดชั่วคราว"</formula>
    </cfRule>
  </conditionalFormatting>
  <conditionalFormatting sqref="G212">
    <cfRule type="expression" dxfId="23" priority="171">
      <formula>$F212="ปิดชั่วคราว"</formula>
    </cfRule>
  </conditionalFormatting>
  <conditionalFormatting sqref="B297">
    <cfRule type="expression" dxfId="22" priority="165">
      <formula>$F297="ปิดชั่วคราว"</formula>
    </cfRule>
  </conditionalFormatting>
  <conditionalFormatting sqref="F297">
    <cfRule type="expression" dxfId="21" priority="163">
      <formula>$F297="ปิดชั่วคราว"</formula>
    </cfRule>
  </conditionalFormatting>
  <conditionalFormatting sqref="F236">
    <cfRule type="expression" dxfId="20" priority="139">
      <formula>$F236="ปิดชั่วคราว"</formula>
    </cfRule>
  </conditionalFormatting>
  <conditionalFormatting sqref="F250">
    <cfRule type="expression" dxfId="19" priority="135">
      <formula>$F250="ปิดชั่วคราว"</formula>
    </cfRule>
  </conditionalFormatting>
  <conditionalFormatting sqref="F213">
    <cfRule type="expression" dxfId="18" priority="24">
      <formula>$F213="ปิดชั่วคราว"</formula>
    </cfRule>
  </conditionalFormatting>
  <conditionalFormatting sqref="A294:G294">
    <cfRule type="expression" dxfId="17" priority="21">
      <formula>$F294="ปิดชั่วคราว"</formula>
    </cfRule>
  </conditionalFormatting>
  <conditionalFormatting sqref="F243">
    <cfRule type="expression" dxfId="16" priority="20">
      <formula>$F243="ปิดชั่วคราว"</formula>
    </cfRule>
  </conditionalFormatting>
  <conditionalFormatting sqref="F244">
    <cfRule type="expression" dxfId="15" priority="19">
      <formula>$F244="ปิดชั่วคราว"</formula>
    </cfRule>
  </conditionalFormatting>
  <conditionalFormatting sqref="F248">
    <cfRule type="expression" dxfId="14" priority="18">
      <formula>$F248="ปิดชั่วคราว"</formula>
    </cfRule>
  </conditionalFormatting>
  <conditionalFormatting sqref="H3:H297">
    <cfRule type="expression" dxfId="13" priority="16">
      <formula>$J3&lt;0</formula>
    </cfRule>
  </conditionalFormatting>
  <conditionalFormatting sqref="H2:H297">
    <cfRule type="expression" dxfId="12" priority="11">
      <formula>$J2&gt;=180</formula>
    </cfRule>
    <cfRule type="expression" dxfId="11" priority="12">
      <formula>$J2&gt;=90</formula>
    </cfRule>
    <cfRule type="expression" dxfId="10" priority="13">
      <formula>$J2&lt;90</formula>
    </cfRule>
  </conditionalFormatting>
  <conditionalFormatting sqref="I2:I297">
    <cfRule type="expression" dxfId="9" priority="8">
      <formula>$K2&gt;=180</formula>
    </cfRule>
    <cfRule type="expression" dxfId="8" priority="9">
      <formula>$K2&gt;=90</formula>
    </cfRule>
    <cfRule type="expression" dxfId="7" priority="10">
      <formula>$K2&lt;90</formula>
    </cfRule>
  </conditionalFormatting>
  <conditionalFormatting sqref="F211">
    <cfRule type="expression" dxfId="6" priority="7">
      <formula>$F211="ปิดชั่วคราว"</formula>
    </cfRule>
  </conditionalFormatting>
  <conditionalFormatting sqref="F212">
    <cfRule type="expression" dxfId="5" priority="6">
      <formula>$F212="ปิดชั่วคราว"</formula>
    </cfRule>
  </conditionalFormatting>
  <conditionalFormatting sqref="F232">
    <cfRule type="expression" dxfId="4" priority="5">
      <formula>$F232="ปิดชั่วคราว"</formula>
    </cfRule>
  </conditionalFormatting>
  <conditionalFormatting sqref="F206">
    <cfRule type="expression" dxfId="3" priority="4">
      <formula>$F206="ปิดชั่วคราว"</formula>
    </cfRule>
  </conditionalFormatting>
  <conditionalFormatting sqref="F276">
    <cfRule type="expression" dxfId="2" priority="3">
      <formula>$F276="ปิดชั่วคราว"</formula>
    </cfRule>
  </conditionalFormatting>
  <conditionalFormatting sqref="E205 G205">
    <cfRule type="expression" dxfId="1" priority="2">
      <formula>$F205="ปิดชั่วคราว"</formula>
    </cfRule>
  </conditionalFormatting>
  <conditionalFormatting sqref="F205">
    <cfRule type="expression" dxfId="0" priority="1">
      <formula>$F205="ปิดชั่วคราว"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2026-09-02T09:13:32Z</dcterms:modified>
</cp:coreProperties>
</file>